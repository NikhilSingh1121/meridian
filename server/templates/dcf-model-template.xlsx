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382853FB-F2AF-4932-934F-08E25287620E}" xr6:coauthVersionLast="47" xr6:coauthVersionMax="47" xr10:uidLastSave="{00000000-0000-0000-0000-000000000000}"/>
  <bookViews>
    <workbookView xWindow="-100" yWindow="-100" windowWidth="24172" windowHeight="14475" tabRatio="758" xr2:uid="{00000000-000D-0000-FFFF-FFFF00000000}"/>
  </bookViews>
  <sheets>
    <sheet name="Title" sheetId="10" r:id="rId1"/>
    <sheet name="Terms" sheetId="18" r:id="rId2"/>
    <sheet name="Executive Summary" sheetId="17" r:id="rId3"/>
    <sheet name="Assumptions" sheetId="8" r:id="rId4"/>
    <sheet name="Financials" sheetId="12" r:id="rId5"/>
    <sheet name="DCF" sheetId="15" r:id="rId6"/>
    <sheet name="Terminal Value" sheetId="14" r:id="rId7"/>
    <sheet name="Two Stage Value Driver Model" sheetId="19" r:id="rId8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B8" i="10"/>
  <c r="B9" i="10"/>
  <c r="B10" i="10"/>
  <c r="B11" i="10"/>
  <c r="B12" i="10"/>
  <c r="B13" i="10"/>
  <c r="B14" i="10"/>
  <c r="N50" i="19"/>
  <c r="L120" i="12"/>
  <c r="M120" i="12"/>
  <c r="K120" i="12"/>
  <c r="R46" i="17"/>
  <c r="S46" i="17"/>
  <c r="T46" i="17"/>
  <c r="U46" i="17"/>
  <c r="V46" i="17"/>
  <c r="Q46" i="17"/>
  <c r="P48" i="17"/>
  <c r="P49" i="17"/>
  <c r="P47" i="17"/>
  <c r="P46" i="17"/>
  <c r="N48" i="17"/>
  <c r="N49" i="17"/>
  <c r="N47" i="17"/>
  <c r="N46" i="17"/>
  <c r="N45" i="17"/>
  <c r="N43" i="17"/>
  <c r="P43" i="17"/>
  <c r="N40" i="17"/>
  <c r="N35" i="17"/>
  <c r="P36" i="17"/>
  <c r="N36" i="17"/>
  <c r="P37" i="17"/>
  <c r="N37" i="17"/>
  <c r="N28" i="17"/>
  <c r="P28" i="17"/>
  <c r="N24" i="17" l="1"/>
  <c r="P24" i="17"/>
  <c r="V16" i="17"/>
  <c r="V17" i="17" s="1"/>
  <c r="U16" i="17"/>
  <c r="U17" i="17" s="1"/>
  <c r="T16" i="17"/>
  <c r="T17" i="17" s="1"/>
  <c r="S16" i="17"/>
  <c r="S17" i="17" s="1"/>
  <c r="R16" i="17"/>
  <c r="R17" i="17" s="1"/>
  <c r="Q16" i="17"/>
  <c r="Q17" i="17" s="1"/>
  <c r="N16" i="17"/>
  <c r="N14" i="17"/>
  <c r="P14" i="17"/>
  <c r="L121" i="14"/>
  <c r="L44" i="14"/>
  <c r="F22" i="17"/>
  <c r="F17" i="17"/>
  <c r="F13" i="17"/>
  <c r="F10" i="17"/>
  <c r="R27" i="17"/>
  <c r="S27" i="17"/>
  <c r="T27" i="17"/>
  <c r="U27" i="17"/>
  <c r="V27" i="17"/>
  <c r="Q27" i="17"/>
  <c r="P43" i="8"/>
  <c r="P48" i="8"/>
  <c r="P21" i="17"/>
  <c r="N21" i="17"/>
  <c r="P26" i="17"/>
  <c r="N26" i="17"/>
  <c r="F14" i="17" l="1"/>
  <c r="F18" i="17" s="1"/>
  <c r="G149" i="12" l="1"/>
  <c r="G90" i="12"/>
  <c r="P49" i="8" l="1"/>
  <c r="N145" i="12"/>
  <c r="K58" i="8"/>
  <c r="P12" i="8"/>
  <c r="G78" i="12"/>
  <c r="G79" i="12"/>
  <c r="G80" i="12"/>
  <c r="G81" i="12"/>
  <c r="G82" i="12"/>
  <c r="N143" i="12"/>
  <c r="O143" i="12" s="1"/>
  <c r="P143" i="12" s="1"/>
  <c r="Q143" i="12" s="1"/>
  <c r="R143" i="12" s="1"/>
  <c r="S143" i="12" s="1"/>
  <c r="N58" i="12"/>
  <c r="Q26" i="17" s="1"/>
  <c r="Q28" i="17" s="1"/>
  <c r="N53" i="12"/>
  <c r="Q48" i="8"/>
  <c r="R48" i="8" s="1"/>
  <c r="S48" i="8" s="1"/>
  <c r="T48" i="8" s="1"/>
  <c r="U48" i="8" s="1"/>
  <c r="S58" i="12" s="1"/>
  <c r="V26" i="17" s="1"/>
  <c r="V28" i="17" s="1"/>
  <c r="Q43" i="8"/>
  <c r="R43" i="8" s="1"/>
  <c r="E165" i="12"/>
  <c r="E162" i="12"/>
  <c r="G163" i="12"/>
  <c r="O53" i="12" l="1"/>
  <c r="R21" i="17" s="1"/>
  <c r="N163" i="12"/>
  <c r="N80" i="12" s="1"/>
  <c r="Q21" i="17"/>
  <c r="O163" i="12"/>
  <c r="O80" i="12" s="1"/>
  <c r="P58" i="12"/>
  <c r="S26" i="17" s="1"/>
  <c r="S28" i="17" s="1"/>
  <c r="O58" i="12"/>
  <c r="R26" i="17" s="1"/>
  <c r="R28" i="17" s="1"/>
  <c r="N90" i="12"/>
  <c r="N149" i="12"/>
  <c r="P90" i="12"/>
  <c r="P149" i="12"/>
  <c r="U58" i="12"/>
  <c r="S149" i="12"/>
  <c r="O90" i="12"/>
  <c r="O149" i="12"/>
  <c r="Q58" i="12"/>
  <c r="T26" i="17" s="1"/>
  <c r="T28" i="17" s="1"/>
  <c r="R58" i="12"/>
  <c r="U26" i="17" s="1"/>
  <c r="U28" i="17" s="1"/>
  <c r="S43" i="8"/>
  <c r="P53" i="12"/>
  <c r="S21" i="17" s="1"/>
  <c r="P163" i="12" l="1"/>
  <c r="P80" i="12" s="1"/>
  <c r="R149" i="12"/>
  <c r="R90" i="12"/>
  <c r="S90" i="12"/>
  <c r="X58" i="12"/>
  <c r="U149" i="12"/>
  <c r="Q149" i="12"/>
  <c r="Q90" i="12"/>
  <c r="Q53" i="12"/>
  <c r="T21" i="17" s="1"/>
  <c r="T43" i="8"/>
  <c r="Q163" i="12" l="1"/>
  <c r="Q80" i="12" s="1"/>
  <c r="U43" i="8"/>
  <c r="S53" i="12" s="1"/>
  <c r="V21" i="17" s="1"/>
  <c r="R53" i="12"/>
  <c r="U21" i="17" s="1"/>
  <c r="G161" i="12"/>
  <c r="G162" i="12"/>
  <c r="G166" i="12"/>
  <c r="G165" i="12"/>
  <c r="G164" i="12"/>
  <c r="G160" i="12"/>
  <c r="C154" i="12"/>
  <c r="C159" i="12" s="1"/>
  <c r="C166" i="12" s="1"/>
  <c r="C145" i="12"/>
  <c r="P32" i="8"/>
  <c r="N98" i="12" s="1"/>
  <c r="O97" i="12" s="1"/>
  <c r="M25" i="8"/>
  <c r="M26" i="8" s="1"/>
  <c r="K30" i="12" s="1"/>
  <c r="N25" i="8"/>
  <c r="N26" i="8" s="1"/>
  <c r="L30" i="12" s="1"/>
  <c r="O25" i="8"/>
  <c r="O26" i="8" s="1"/>
  <c r="M30" i="12" s="1"/>
  <c r="N115" i="12"/>
  <c r="O115" i="12" s="1"/>
  <c r="P115" i="12" s="1"/>
  <c r="Q115" i="12" s="1"/>
  <c r="R115" i="12" s="1"/>
  <c r="S115" i="12" s="1"/>
  <c r="C115" i="12"/>
  <c r="L49" i="8"/>
  <c r="L48" i="8"/>
  <c r="R163" i="12" l="1"/>
  <c r="R80" i="12" s="1"/>
  <c r="S163" i="12"/>
  <c r="U53" i="12"/>
  <c r="X53" i="12" s="1"/>
  <c r="G187" i="12"/>
  <c r="G188" i="12"/>
  <c r="C188" i="12"/>
  <c r="O176" i="12"/>
  <c r="P176" i="12"/>
  <c r="Q176" i="12"/>
  <c r="R176" i="12"/>
  <c r="S176" i="12"/>
  <c r="N176" i="12"/>
  <c r="C93" i="12"/>
  <c r="C87" i="12"/>
  <c r="C83" i="12"/>
  <c r="N50" i="8"/>
  <c r="O50" i="8"/>
  <c r="M50" i="8"/>
  <c r="N46" i="8"/>
  <c r="N52" i="8" s="1"/>
  <c r="N54" i="8" s="1"/>
  <c r="O46" i="8"/>
  <c r="M46" i="8"/>
  <c r="M52" i="8" s="1"/>
  <c r="M54" i="8" s="1"/>
  <c r="N39" i="8"/>
  <c r="N41" i="8" s="1"/>
  <c r="O39" i="8"/>
  <c r="O41" i="8" s="1"/>
  <c r="O52" i="8" s="1"/>
  <c r="O54" i="8" s="1"/>
  <c r="M39" i="8"/>
  <c r="L38" i="8"/>
  <c r="L58" i="12"/>
  <c r="M58" i="12"/>
  <c r="L59" i="12"/>
  <c r="M59" i="12"/>
  <c r="K59" i="12"/>
  <c r="K58" i="12"/>
  <c r="L53" i="12"/>
  <c r="M53" i="12"/>
  <c r="L54" i="12"/>
  <c r="L164" i="12" s="1"/>
  <c r="M54" i="12"/>
  <c r="M164" i="12" s="1"/>
  <c r="L55" i="12"/>
  <c r="L165" i="12" s="1"/>
  <c r="M55" i="12"/>
  <c r="M165" i="12" s="1"/>
  <c r="K54" i="12"/>
  <c r="K164" i="12" s="1"/>
  <c r="K55" i="12"/>
  <c r="K165" i="12" s="1"/>
  <c r="K53" i="12"/>
  <c r="K163" i="12" s="1"/>
  <c r="C64" i="12"/>
  <c r="C62" i="12"/>
  <c r="C148" i="12" s="1"/>
  <c r="C60" i="12"/>
  <c r="C59" i="12"/>
  <c r="C58" i="12"/>
  <c r="C54" i="12"/>
  <c r="C81" i="12" s="1"/>
  <c r="C55" i="12"/>
  <c r="C82" i="12" s="1"/>
  <c r="G60" i="12"/>
  <c r="G58" i="12"/>
  <c r="G56" i="12"/>
  <c r="C56" i="12"/>
  <c r="C53" i="12"/>
  <c r="C80" i="12" s="1"/>
  <c r="G53" i="12"/>
  <c r="G48" i="12"/>
  <c r="C48" i="12"/>
  <c r="C155" i="12" s="1"/>
  <c r="C47" i="12"/>
  <c r="C86" i="12" s="1"/>
  <c r="C176" i="12" s="1"/>
  <c r="G45" i="12"/>
  <c r="C45" i="12"/>
  <c r="C44" i="12"/>
  <c r="C79" i="12" s="1"/>
  <c r="C43" i="12"/>
  <c r="C78" i="12" s="1"/>
  <c r="N142" i="12"/>
  <c r="N141" i="12"/>
  <c r="O91" i="12"/>
  <c r="P91" i="12"/>
  <c r="Q91" i="12"/>
  <c r="R91" i="12"/>
  <c r="S91" i="12"/>
  <c r="K59" i="8"/>
  <c r="O59" i="8"/>
  <c r="N59" i="8"/>
  <c r="M59" i="8"/>
  <c r="A7" i="12"/>
  <c r="E28" i="8"/>
  <c r="C28" i="8"/>
  <c r="E27" i="8"/>
  <c r="E25" i="8"/>
  <c r="E26" i="8" s="1"/>
  <c r="G143" i="12" s="1"/>
  <c r="E24" i="8"/>
  <c r="G141" i="12" s="1"/>
  <c r="C26" i="8"/>
  <c r="C143" i="12" s="1"/>
  <c r="G183" i="12"/>
  <c r="L10" i="12"/>
  <c r="M10" i="12"/>
  <c r="C31" i="12"/>
  <c r="C30" i="12"/>
  <c r="C26" i="12"/>
  <c r="C25" i="12"/>
  <c r="C21" i="12"/>
  <c r="C76" i="12" s="1"/>
  <c r="C18" i="12"/>
  <c r="C17" i="12"/>
  <c r="C14" i="12"/>
  <c r="C13" i="12"/>
  <c r="K28" i="8"/>
  <c r="K21" i="8"/>
  <c r="C19" i="12" s="1"/>
  <c r="K17" i="8"/>
  <c r="C15" i="12" s="1"/>
  <c r="K13" i="8"/>
  <c r="L50" i="8"/>
  <c r="L45" i="8"/>
  <c r="L44" i="8"/>
  <c r="L43" i="8"/>
  <c r="L46" i="8"/>
  <c r="N36" i="8"/>
  <c r="O36" i="8"/>
  <c r="M36" i="8"/>
  <c r="L36" i="8"/>
  <c r="K8" i="8"/>
  <c r="C8" i="12" s="1"/>
  <c r="C72" i="12" s="1"/>
  <c r="N218" i="12"/>
  <c r="N217" i="12"/>
  <c r="N132" i="12"/>
  <c r="N25" i="12"/>
  <c r="N17" i="12"/>
  <c r="C90" i="12" l="1"/>
  <c r="C149" i="12"/>
  <c r="C91" i="12"/>
  <c r="C150" i="12"/>
  <c r="K149" i="12"/>
  <c r="M149" i="12"/>
  <c r="L149" i="12"/>
  <c r="U163" i="12"/>
  <c r="S80" i="12"/>
  <c r="X163" i="12"/>
  <c r="N187" i="12"/>
  <c r="O187" i="12" s="1"/>
  <c r="L163" i="12"/>
  <c r="M163" i="12"/>
  <c r="O141" i="12"/>
  <c r="N144" i="12"/>
  <c r="C163" i="12"/>
  <c r="C164" i="12"/>
  <c r="C162" i="12"/>
  <c r="C161" i="12"/>
  <c r="C165" i="12"/>
  <c r="K60" i="12"/>
  <c r="O142" i="12"/>
  <c r="U176" i="12"/>
  <c r="K56" i="12"/>
  <c r="N86" i="12"/>
  <c r="N87" i="12" s="1"/>
  <c r="F43" i="17" s="1"/>
  <c r="M56" i="12"/>
  <c r="L56" i="12"/>
  <c r="M41" i="8"/>
  <c r="L60" i="12"/>
  <c r="M60" i="12"/>
  <c r="G142" i="12"/>
  <c r="A38" i="12"/>
  <c r="V2" i="8"/>
  <c r="W2" i="17"/>
  <c r="V2" i="12"/>
  <c r="S2" i="15"/>
  <c r="C106" i="12"/>
  <c r="C172" i="12"/>
  <c r="C196" i="12"/>
  <c r="C39" i="12"/>
  <c r="U80" i="12" l="1"/>
  <c r="P141" i="12"/>
  <c r="O144" i="12"/>
  <c r="P142" i="12"/>
  <c r="P187" i="12"/>
  <c r="A71" i="12"/>
  <c r="G174" i="12"/>
  <c r="I174" i="12"/>
  <c r="I179" i="12" s="1" a="1"/>
  <c r="I179" i="12" s="1"/>
  <c r="C174" i="12"/>
  <c r="Q141" i="12" l="1"/>
  <c r="P144" i="12"/>
  <c r="Q142" i="12"/>
  <c r="Q187" i="12"/>
  <c r="A105" i="12"/>
  <c r="A171" i="12" s="1"/>
  <c r="A195" i="12" s="1"/>
  <c r="C102" i="14"/>
  <c r="C15" i="19"/>
  <c r="C13" i="19"/>
  <c r="C14" i="19"/>
  <c r="C12" i="19"/>
  <c r="C7" i="15"/>
  <c r="M15" i="15"/>
  <c r="C15" i="15"/>
  <c r="R141" i="12" l="1"/>
  <c r="Q144" i="12"/>
  <c r="R142" i="12"/>
  <c r="R187" i="12"/>
  <c r="C47" i="15"/>
  <c r="C46" i="15"/>
  <c r="S141" i="12" l="1"/>
  <c r="R144" i="12"/>
  <c r="S142" i="12"/>
  <c r="S187" i="12"/>
  <c r="O97" i="8"/>
  <c r="S3" i="15"/>
  <c r="V3" i="12"/>
  <c r="V3" i="8"/>
  <c r="R94" i="8"/>
  <c r="G51" i="8"/>
  <c r="G48" i="8"/>
  <c r="G50" i="8" s="1"/>
  <c r="G35" i="8"/>
  <c r="G41" i="8" s="1"/>
  <c r="S81" i="17"/>
  <c r="G214" i="12"/>
  <c r="C214" i="12"/>
  <c r="J100" i="17" s="1"/>
  <c r="P218" i="12"/>
  <c r="O218" i="12"/>
  <c r="Q218" i="12" s="1"/>
  <c r="C104" i="17"/>
  <c r="P217" i="12"/>
  <c r="O217" i="12"/>
  <c r="G230" i="12"/>
  <c r="G229" i="12"/>
  <c r="G228" i="12"/>
  <c r="G227" i="12"/>
  <c r="G226" i="12"/>
  <c r="G225" i="12"/>
  <c r="G224" i="12"/>
  <c r="G223" i="12"/>
  <c r="G222" i="12"/>
  <c r="G221" i="12"/>
  <c r="M53" i="15"/>
  <c r="Q49" i="15"/>
  <c r="Q48" i="15"/>
  <c r="Q47" i="15"/>
  <c r="Q46" i="15"/>
  <c r="C212" i="12"/>
  <c r="G100" i="17" s="1"/>
  <c r="C207" i="12"/>
  <c r="R73" i="17" s="1"/>
  <c r="C206" i="12"/>
  <c r="O73" i="17" s="1"/>
  <c r="G201" i="12"/>
  <c r="G203" i="12"/>
  <c r="C203" i="12"/>
  <c r="J72" i="17" s="1"/>
  <c r="G202" i="12"/>
  <c r="G200" i="12"/>
  <c r="G199" i="12"/>
  <c r="C202" i="12"/>
  <c r="G72" i="17" s="1"/>
  <c r="C200" i="12"/>
  <c r="D73" i="17" s="1"/>
  <c r="M196" i="12"/>
  <c r="C195" i="12"/>
  <c r="C194" i="12"/>
  <c r="E35" i="17"/>
  <c r="E34" i="17"/>
  <c r="E33" i="17"/>
  <c r="E32" i="17"/>
  <c r="C35" i="17"/>
  <c r="C34" i="17"/>
  <c r="C33" i="17"/>
  <c r="C32" i="17"/>
  <c r="E49" i="17"/>
  <c r="E48" i="17"/>
  <c r="P42" i="17"/>
  <c r="N42" i="17"/>
  <c r="C49" i="17"/>
  <c r="C48" i="17"/>
  <c r="P41" i="17"/>
  <c r="P38" i="17"/>
  <c r="N41" i="17"/>
  <c r="N38" i="17"/>
  <c r="C56" i="17"/>
  <c r="G126" i="14"/>
  <c r="N221" i="12" s="1"/>
  <c r="C115" i="14"/>
  <c r="C107" i="14"/>
  <c r="C79" i="14"/>
  <c r="C65" i="14"/>
  <c r="C38" i="14"/>
  <c r="C19" i="14"/>
  <c r="C7" i="19"/>
  <c r="C47" i="19" s="1"/>
  <c r="C78" i="19" s="1"/>
  <c r="C99" i="8"/>
  <c r="K74" i="8" s="1"/>
  <c r="C98" i="8"/>
  <c r="K73" i="8" s="1"/>
  <c r="C97" i="8"/>
  <c r="K72" i="8" s="1"/>
  <c r="C96" i="8"/>
  <c r="K71" i="8" s="1"/>
  <c r="C95" i="8"/>
  <c r="K70" i="8" s="1"/>
  <c r="C111" i="14"/>
  <c r="C113" i="14" s="1"/>
  <c r="C84" i="14"/>
  <c r="C134" i="14" s="1"/>
  <c r="C229" i="12" s="1"/>
  <c r="U133" i="17" s="1"/>
  <c r="C24" i="14"/>
  <c r="C37" i="14" s="1"/>
  <c r="C7" i="14"/>
  <c r="C126" i="14" s="1"/>
  <c r="C221" i="12" s="1"/>
  <c r="F133" i="17" s="1"/>
  <c r="G71" i="8"/>
  <c r="J45" i="19"/>
  <c r="J44" i="19"/>
  <c r="J43" i="19"/>
  <c r="G78" i="19"/>
  <c r="F113" i="14" s="1"/>
  <c r="G76" i="19"/>
  <c r="G75" i="19"/>
  <c r="C89" i="19"/>
  <c r="D71" i="19" s="1"/>
  <c r="C110" i="14"/>
  <c r="C100" i="14"/>
  <c r="C101" i="14"/>
  <c r="C87" i="19"/>
  <c r="D69" i="19" s="1"/>
  <c r="J86" i="19"/>
  <c r="J85" i="19"/>
  <c r="J84" i="19"/>
  <c r="C82" i="19"/>
  <c r="D67" i="19"/>
  <c r="D66" i="19"/>
  <c r="H61" i="19"/>
  <c r="C61" i="19"/>
  <c r="H60" i="19"/>
  <c r="C60" i="19"/>
  <c r="J59" i="19"/>
  <c r="H59" i="19"/>
  <c r="C59" i="19"/>
  <c r="I58" i="19"/>
  <c r="H58" i="19"/>
  <c r="C58" i="19"/>
  <c r="H57" i="19"/>
  <c r="C57" i="19"/>
  <c r="J56" i="19"/>
  <c r="H56" i="19"/>
  <c r="C56" i="19"/>
  <c r="I55" i="19"/>
  <c r="H55" i="19"/>
  <c r="C55" i="19"/>
  <c r="J54" i="19"/>
  <c r="I54" i="19"/>
  <c r="S39" i="19" s="1"/>
  <c r="H54" i="19"/>
  <c r="C54" i="19"/>
  <c r="J40" i="19"/>
  <c r="J39" i="19"/>
  <c r="J38" i="19"/>
  <c r="C35" i="19"/>
  <c r="J34" i="19"/>
  <c r="J32" i="19"/>
  <c r="C32" i="19"/>
  <c r="J30" i="19"/>
  <c r="N51" i="19" s="1"/>
  <c r="J29" i="19"/>
  <c r="J27" i="19"/>
  <c r="J26" i="19"/>
  <c r="C26" i="19"/>
  <c r="C25" i="19"/>
  <c r="C24" i="19"/>
  <c r="C21" i="19"/>
  <c r="C22" i="19" s="1"/>
  <c r="J19" i="19"/>
  <c r="D15" i="19"/>
  <c r="D14" i="19"/>
  <c r="D13" i="19"/>
  <c r="D12" i="19"/>
  <c r="C11" i="19"/>
  <c r="T9" i="19"/>
  <c r="M8" i="19"/>
  <c r="C6" i="19"/>
  <c r="B2" i="19"/>
  <c r="G138" i="14"/>
  <c r="C93" i="8"/>
  <c r="M65" i="8"/>
  <c r="N75" i="8"/>
  <c r="R96" i="8"/>
  <c r="C114" i="14"/>
  <c r="R92" i="8"/>
  <c r="R97" i="8"/>
  <c r="R93" i="8"/>
  <c r="R98" i="8"/>
  <c r="N67" i="8"/>
  <c r="R95" i="8"/>
  <c r="N76" i="8"/>
  <c r="C135" i="14"/>
  <c r="S144" i="12" l="1"/>
  <c r="U187" i="12"/>
  <c r="G52" i="8"/>
  <c r="G36" i="8"/>
  <c r="C219" i="12"/>
  <c r="D134" i="17" s="1"/>
  <c r="C218" i="12"/>
  <c r="D133" i="17" s="1"/>
  <c r="C230" i="12"/>
  <c r="U134" i="17" s="1"/>
  <c r="C5" i="19"/>
  <c r="C18" i="14"/>
  <c r="C106" i="14"/>
  <c r="C127" i="14"/>
  <c r="C222" i="12" s="1"/>
  <c r="F134" i="17" s="1"/>
  <c r="C88" i="19"/>
  <c r="S19" i="19"/>
  <c r="C86" i="19"/>
  <c r="D68" i="19" s="1"/>
  <c r="T19" i="19"/>
  <c r="T39" i="19"/>
  <c r="U9" i="19"/>
  <c r="N68" i="8"/>
  <c r="G43" i="8" l="1"/>
  <c r="G45" i="8" s="1"/>
  <c r="AF51" i="19"/>
  <c r="D70" i="19"/>
  <c r="U39" i="19"/>
  <c r="U19" i="19"/>
  <c r="V9" i="19"/>
  <c r="G54" i="8" l="1"/>
  <c r="G60" i="8" s="1"/>
  <c r="V39" i="19"/>
  <c r="V19" i="19"/>
  <c r="W9" i="19"/>
  <c r="H89" i="19" l="1"/>
  <c r="AE89" i="19" s="1"/>
  <c r="N84" i="17"/>
  <c r="W19" i="19"/>
  <c r="W39" i="19"/>
  <c r="X9" i="19"/>
  <c r="AG89" i="19" l="1"/>
  <c r="AI89" i="19"/>
  <c r="AV89" i="19"/>
  <c r="AA89" i="19"/>
  <c r="Z89" i="19"/>
  <c r="V89" i="19"/>
  <c r="AR89" i="19"/>
  <c r="W89" i="19"/>
  <c r="T89" i="19"/>
  <c r="Q89" i="19"/>
  <c r="AU89" i="19"/>
  <c r="AH89" i="19"/>
  <c r="AQ89" i="19"/>
  <c r="AC89" i="19"/>
  <c r="AB89" i="19"/>
  <c r="X89" i="19"/>
  <c r="AF89" i="19"/>
  <c r="O89" i="19"/>
  <c r="AK89" i="19"/>
  <c r="AN89" i="19"/>
  <c r="N89" i="19"/>
  <c r="S89" i="19"/>
  <c r="AO89" i="19"/>
  <c r="AJ89" i="19"/>
  <c r="R89" i="19"/>
  <c r="AM89" i="19"/>
  <c r="AT89" i="19"/>
  <c r="Y89" i="19"/>
  <c r="AD89" i="19"/>
  <c r="AS89" i="19"/>
  <c r="U89" i="19"/>
  <c r="AL89" i="19"/>
  <c r="P89" i="19"/>
  <c r="AP89" i="19"/>
  <c r="X19" i="19"/>
  <c r="Y9" i="19"/>
  <c r="X39" i="19"/>
  <c r="Y39" i="19" l="1"/>
  <c r="Z9" i="19"/>
  <c r="Y19" i="19"/>
  <c r="Z19" i="19" l="1"/>
  <c r="Z39" i="19"/>
  <c r="AA9" i="19"/>
  <c r="AB9" i="19" l="1"/>
  <c r="AA39" i="19"/>
  <c r="AA19" i="19"/>
  <c r="AC9" i="19" l="1"/>
  <c r="AB19" i="19"/>
  <c r="AC19" i="19" l="1"/>
  <c r="AD9" i="19"/>
  <c r="AC39" i="19"/>
  <c r="AD19" i="19" l="1"/>
  <c r="AE9" i="19"/>
  <c r="AD39" i="19"/>
  <c r="AE39" i="19" l="1"/>
  <c r="AE19" i="19"/>
  <c r="AF9" i="19"/>
  <c r="AF39" i="19" l="1"/>
  <c r="AF19" i="19"/>
  <c r="AG9" i="19"/>
  <c r="AG19" i="19" l="1"/>
  <c r="AH9" i="19"/>
  <c r="AI9" i="19" l="1"/>
  <c r="AH39" i="19"/>
  <c r="AI39" i="19" l="1"/>
  <c r="AJ9" i="19"/>
  <c r="AK9" i="19" l="1"/>
  <c r="AJ39" i="19"/>
  <c r="AK39" i="19" l="1"/>
  <c r="AL9" i="19"/>
  <c r="AL39" i="19" l="1"/>
  <c r="AM9" i="19"/>
  <c r="AN9" i="19" l="1"/>
  <c r="AM39" i="19"/>
  <c r="AO9" i="19" l="1"/>
  <c r="AN39" i="19"/>
  <c r="AO39" i="19" l="1"/>
  <c r="AP9" i="19"/>
  <c r="AP39" i="19" l="1"/>
  <c r="AQ9" i="19"/>
  <c r="AR9" i="19" l="1"/>
  <c r="AQ39" i="19"/>
  <c r="AS9" i="19" l="1"/>
  <c r="AR39" i="19"/>
  <c r="AS39" i="19" l="1"/>
  <c r="AT9" i="19"/>
  <c r="AT39" i="19" l="1"/>
  <c r="AU9" i="19"/>
  <c r="AU39" i="19" l="1"/>
  <c r="AV9" i="19"/>
  <c r="J58" i="19" l="1"/>
  <c r="S86" i="14"/>
  <c r="F103" i="14"/>
  <c r="M100" i="8"/>
  <c r="I61" i="19" s="1"/>
  <c r="C6" i="14"/>
  <c r="C23" i="14"/>
  <c r="G176" i="12"/>
  <c r="S86" i="12"/>
  <c r="R32" i="19" s="1"/>
  <c r="R86" i="12"/>
  <c r="Q32" i="19" s="1"/>
  <c r="Q86" i="12"/>
  <c r="P32" i="19" s="1"/>
  <c r="P86" i="12"/>
  <c r="O32" i="19" s="1"/>
  <c r="O86" i="12"/>
  <c r="C75" i="12"/>
  <c r="G127" i="14"/>
  <c r="N222" i="12" s="1"/>
  <c r="J124" i="14"/>
  <c r="C138" i="14"/>
  <c r="Q216" i="12" s="1"/>
  <c r="K87" i="8"/>
  <c r="M85" i="8"/>
  <c r="G105" i="14" s="1"/>
  <c r="G135" i="14"/>
  <c r="N230" i="12" s="1"/>
  <c r="L86" i="14"/>
  <c r="N87" i="14"/>
  <c r="G101" i="14"/>
  <c r="M82" i="8"/>
  <c r="M84" i="8" s="1"/>
  <c r="C17" i="14"/>
  <c r="G128" i="14"/>
  <c r="N223" i="12" s="1"/>
  <c r="F57" i="14"/>
  <c r="M94" i="8"/>
  <c r="I57" i="19" s="1"/>
  <c r="S41" i="19" s="1"/>
  <c r="T41" i="19" s="1"/>
  <c r="G85" i="8"/>
  <c r="G60" i="14"/>
  <c r="G59" i="14"/>
  <c r="O57" i="14" s="1"/>
  <c r="G58" i="14"/>
  <c r="O56" i="14" s="1"/>
  <c r="F60" i="14"/>
  <c r="F59" i="14"/>
  <c r="F58" i="14"/>
  <c r="C58" i="14"/>
  <c r="C59" i="14"/>
  <c r="C60" i="14"/>
  <c r="F56" i="14"/>
  <c r="C43" i="14"/>
  <c r="C128" i="14" s="1"/>
  <c r="C223" i="12" s="1"/>
  <c r="H133" i="17" s="1"/>
  <c r="C84" i="8"/>
  <c r="C88" i="8"/>
  <c r="K81" i="8"/>
  <c r="G82" i="8"/>
  <c r="H17" i="14" s="1"/>
  <c r="I74" i="14"/>
  <c r="I75" i="14"/>
  <c r="I76" i="14"/>
  <c r="I77" i="14"/>
  <c r="I78" i="14"/>
  <c r="L78" i="14"/>
  <c r="L77" i="14"/>
  <c r="L76" i="14"/>
  <c r="L75" i="14"/>
  <c r="L74" i="14"/>
  <c r="K78" i="14"/>
  <c r="K77" i="14"/>
  <c r="K76" i="14"/>
  <c r="K75" i="14"/>
  <c r="C81" i="8"/>
  <c r="C42" i="14"/>
  <c r="G14" i="14"/>
  <c r="C14" i="14"/>
  <c r="G12" i="14"/>
  <c r="C11" i="15"/>
  <c r="F13" i="15"/>
  <c r="F12" i="15"/>
  <c r="C13" i="15"/>
  <c r="C12" i="15"/>
  <c r="H11" i="15"/>
  <c r="M11" i="15"/>
  <c r="C133" i="14"/>
  <c r="C228" i="12" s="1"/>
  <c r="Q134" i="17" s="1"/>
  <c r="C132" i="14"/>
  <c r="C227" i="12" s="1"/>
  <c r="Q133" i="17" s="1"/>
  <c r="C131" i="14"/>
  <c r="C226" i="12" s="1"/>
  <c r="L134" i="17" s="1"/>
  <c r="C130" i="14"/>
  <c r="C225" i="12" s="1"/>
  <c r="L133" i="17" s="1"/>
  <c r="C129" i="14"/>
  <c r="C224" i="12" s="1"/>
  <c r="H134" i="17" s="1"/>
  <c r="C83" i="14"/>
  <c r="N32" i="19" l="1"/>
  <c r="U86" i="12"/>
  <c r="U87" i="12" s="1"/>
  <c r="N35" i="15"/>
  <c r="O35" i="15" s="1"/>
  <c r="P35" i="15" s="1"/>
  <c r="Q35" i="15" s="1"/>
  <c r="R35" i="15" s="1"/>
  <c r="C64" i="14"/>
  <c r="S44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G57" i="14"/>
  <c r="M93" i="8"/>
  <c r="I56" i="19" s="1"/>
  <c r="O92" i="8"/>
  <c r="J55" i="19" s="1"/>
  <c r="O94" i="8"/>
  <c r="J57" i="19" s="1"/>
  <c r="G100" i="14"/>
  <c r="O96" i="14" s="1"/>
  <c r="P87" i="17"/>
  <c r="P88" i="17"/>
  <c r="P89" i="17"/>
  <c r="P90" i="17"/>
  <c r="P91" i="17"/>
  <c r="N69" i="8"/>
  <c r="U41" i="19" l="1"/>
  <c r="T44" i="19"/>
  <c r="O99" i="8"/>
  <c r="J60" i="19" s="1"/>
  <c r="O91" i="14"/>
  <c r="O95" i="14"/>
  <c r="G102" i="14"/>
  <c r="O92" i="14"/>
  <c r="O94" i="14"/>
  <c r="O93" i="14"/>
  <c r="G130" i="14"/>
  <c r="N225" i="12" s="1"/>
  <c r="G131" i="14"/>
  <c r="N226" i="12" s="1"/>
  <c r="G132" i="14"/>
  <c r="N227" i="12" s="1"/>
  <c r="G133" i="14"/>
  <c r="N228" i="12" s="1"/>
  <c r="C75" i="14"/>
  <c r="C76" i="14"/>
  <c r="C77" i="14"/>
  <c r="C78" i="14"/>
  <c r="C74" i="14"/>
  <c r="P86" i="17"/>
  <c r="N88" i="17"/>
  <c r="N89" i="17"/>
  <c r="N90" i="17"/>
  <c r="N91" i="17"/>
  <c r="F101" i="14"/>
  <c r="F102" i="14"/>
  <c r="N87" i="17"/>
  <c r="H47" i="15"/>
  <c r="H46" i="15"/>
  <c r="G129" i="14"/>
  <c r="N224" i="12" s="1"/>
  <c r="G134" i="14"/>
  <c r="N229" i="12" s="1"/>
  <c r="H124" i="14"/>
  <c r="C120" i="14"/>
  <c r="C119" i="14"/>
  <c r="L54" i="8"/>
  <c r="L52" i="8"/>
  <c r="L41" i="8"/>
  <c r="L26" i="8"/>
  <c r="L27" i="8"/>
  <c r="O13" i="8"/>
  <c r="P13" i="8" s="1"/>
  <c r="N13" i="8"/>
  <c r="L20" i="8"/>
  <c r="N16" i="8"/>
  <c r="N20" i="8" s="1"/>
  <c r="N21" i="8" s="1"/>
  <c r="O16" i="8"/>
  <c r="O20" i="8" s="1"/>
  <c r="O21" i="8" s="1"/>
  <c r="P21" i="8" s="1"/>
  <c r="M16" i="8"/>
  <c r="M20" i="8" s="1"/>
  <c r="M21" i="8" s="1"/>
  <c r="L16" i="8"/>
  <c r="Q82" i="17"/>
  <c r="P82" i="17"/>
  <c r="N82" i="17"/>
  <c r="C6" i="17"/>
  <c r="N73" i="8"/>
  <c r="N71" i="8"/>
  <c r="N74" i="8"/>
  <c r="N72" i="8"/>
  <c r="N70" i="8"/>
  <c r="Q12" i="8" l="1"/>
  <c r="N10" i="12"/>
  <c r="N162" i="12" s="1"/>
  <c r="N96" i="14"/>
  <c r="P96" i="14" s="1"/>
  <c r="V41" i="19"/>
  <c r="U4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U14" i="19"/>
  <c r="AV13" i="19"/>
  <c r="AV12" i="19"/>
  <c r="AV14" i="19"/>
  <c r="N86" i="17"/>
  <c r="M17" i="8"/>
  <c r="N17" i="8"/>
  <c r="O17" i="8"/>
  <c r="P17" i="8" s="1"/>
  <c r="P15" i="8" s="1"/>
  <c r="C105" i="12"/>
  <c r="A79" i="17"/>
  <c r="C45" i="17"/>
  <c r="C44" i="17"/>
  <c r="C43" i="17"/>
  <c r="C42" i="17"/>
  <c r="C39" i="17"/>
  <c r="N23" i="17"/>
  <c r="N27" i="17"/>
  <c r="N30" i="17"/>
  <c r="N32" i="17"/>
  <c r="N22" i="17"/>
  <c r="G43" i="12"/>
  <c r="P12" i="17" s="1"/>
  <c r="N19" i="17"/>
  <c r="N12" i="17"/>
  <c r="N13" i="17"/>
  <c r="N17" i="17"/>
  <c r="F8" i="17"/>
  <c r="E29" i="17"/>
  <c r="C28" i="17"/>
  <c r="C27" i="17"/>
  <c r="C26" i="17"/>
  <c r="E24" i="17"/>
  <c r="C23" i="17"/>
  <c r="C21" i="17"/>
  <c r="K22" i="17"/>
  <c r="J22" i="17"/>
  <c r="I22" i="17"/>
  <c r="H22" i="17"/>
  <c r="C22" i="17"/>
  <c r="E19" i="17"/>
  <c r="C18" i="17"/>
  <c r="C17" i="17"/>
  <c r="E15" i="17"/>
  <c r="C14" i="17"/>
  <c r="C13" i="17"/>
  <c r="E11" i="17"/>
  <c r="N7" i="17"/>
  <c r="E7" i="17"/>
  <c r="P7" i="17" s="1"/>
  <c r="E39" i="17" s="1"/>
  <c r="C8" i="17"/>
  <c r="N8" i="17" s="1"/>
  <c r="C40" i="17" s="1"/>
  <c r="C7" i="17"/>
  <c r="N44" i="12" l="1"/>
  <c r="N11" i="12"/>
  <c r="F11" i="17" s="1"/>
  <c r="N79" i="12"/>
  <c r="N13" i="12"/>
  <c r="N165" i="12" s="1"/>
  <c r="P16" i="8"/>
  <c r="P20" i="8" s="1"/>
  <c r="N199" i="12"/>
  <c r="Q15" i="8"/>
  <c r="Q16" i="8" s="1"/>
  <c r="Q19" i="8" s="1"/>
  <c r="Q20" i="8" s="1"/>
  <c r="O10" i="12"/>
  <c r="O162" i="12" s="1"/>
  <c r="AV15" i="19"/>
  <c r="W41" i="19"/>
  <c r="V44" i="19"/>
  <c r="Q8" i="17"/>
  <c r="F40" i="17" s="1"/>
  <c r="B2" i="18"/>
  <c r="L132" i="12"/>
  <c r="M132" i="12"/>
  <c r="P35" i="8" l="1"/>
  <c r="Q13" i="17"/>
  <c r="O79" i="12"/>
  <c r="O44" i="12"/>
  <c r="O11" i="12"/>
  <c r="N14" i="12"/>
  <c r="N18" i="12" s="1"/>
  <c r="AV88" i="19"/>
  <c r="X41" i="19"/>
  <c r="W44" i="19"/>
  <c r="L26" i="12"/>
  <c r="L115" i="12" s="1"/>
  <c r="M26" i="12"/>
  <c r="M115" i="12" s="1"/>
  <c r="K26" i="12"/>
  <c r="K115" i="12" s="1"/>
  <c r="F105" i="14"/>
  <c r="C105" i="14"/>
  <c r="F100" i="14"/>
  <c r="H36" i="14"/>
  <c r="H35" i="14"/>
  <c r="G35" i="14"/>
  <c r="G36" i="14"/>
  <c r="C36" i="14"/>
  <c r="C35" i="14"/>
  <c r="F106" i="14"/>
  <c r="F104" i="14"/>
  <c r="Q35" i="8" l="1"/>
  <c r="R13" i="17"/>
  <c r="N15" i="12"/>
  <c r="F15" i="17" s="1"/>
  <c r="P45" i="8"/>
  <c r="N55" i="12"/>
  <c r="N19" i="12"/>
  <c r="F19" i="17" s="1"/>
  <c r="N200" i="12"/>
  <c r="Y41" i="19"/>
  <c r="X44" i="19"/>
  <c r="N82" i="12" l="1"/>
  <c r="Q23" i="17"/>
  <c r="N201" i="12"/>
  <c r="Z41" i="19"/>
  <c r="Y44" i="19"/>
  <c r="C69" i="14"/>
  <c r="G37" i="14"/>
  <c r="G34" i="14"/>
  <c r="A24" i="14"/>
  <c r="G18" i="14"/>
  <c r="G17" i="14"/>
  <c r="G15" i="14"/>
  <c r="B2" i="14"/>
  <c r="C64" i="15"/>
  <c r="C63" i="15"/>
  <c r="H58" i="15"/>
  <c r="P99" i="17" s="1"/>
  <c r="C58" i="15"/>
  <c r="N99" i="17" s="1"/>
  <c r="H57" i="15"/>
  <c r="P98" i="17" s="1"/>
  <c r="C57" i="15"/>
  <c r="N98" i="17" s="1"/>
  <c r="H56" i="15"/>
  <c r="P97" i="17" s="1"/>
  <c r="C56" i="15"/>
  <c r="N97" i="17" s="1"/>
  <c r="H55" i="15"/>
  <c r="P96" i="17" s="1"/>
  <c r="C55" i="15"/>
  <c r="N96" i="17" s="1"/>
  <c r="H54" i="15"/>
  <c r="P95" i="17" s="1"/>
  <c r="C54" i="15"/>
  <c r="N95" i="17" s="1"/>
  <c r="H51" i="15"/>
  <c r="H50" i="15"/>
  <c r="H49" i="15"/>
  <c r="H48" i="15"/>
  <c r="H41" i="15"/>
  <c r="H34" i="15"/>
  <c r="M10" i="15"/>
  <c r="H10" i="15"/>
  <c r="C10" i="15"/>
  <c r="C29" i="15"/>
  <c r="A29" i="15"/>
  <c r="C28" i="15"/>
  <c r="H32" i="15"/>
  <c r="H33" i="15"/>
  <c r="H23" i="15"/>
  <c r="H22" i="15"/>
  <c r="H21" i="15"/>
  <c r="H20" i="15"/>
  <c r="H19" i="15"/>
  <c r="H18" i="15"/>
  <c r="C17" i="15"/>
  <c r="M8" i="15"/>
  <c r="C6" i="15"/>
  <c r="B2" i="15"/>
  <c r="C238" i="12"/>
  <c r="C237" i="12"/>
  <c r="G156" i="12"/>
  <c r="G155" i="12"/>
  <c r="G207" i="12" s="1"/>
  <c r="G154" i="12"/>
  <c r="G206" i="12" s="1"/>
  <c r="G152" i="12"/>
  <c r="G151" i="12"/>
  <c r="G150" i="12"/>
  <c r="G148" i="12"/>
  <c r="K132" i="12"/>
  <c r="G132" i="12"/>
  <c r="M106" i="12"/>
  <c r="C104" i="12"/>
  <c r="G98" i="12"/>
  <c r="G97" i="12"/>
  <c r="G95" i="12"/>
  <c r="G93" i="12"/>
  <c r="G92" i="12"/>
  <c r="G91" i="12"/>
  <c r="G87" i="12"/>
  <c r="G86" i="12"/>
  <c r="G83" i="12"/>
  <c r="G77" i="12"/>
  <c r="G76" i="12"/>
  <c r="G75" i="12"/>
  <c r="M72" i="12"/>
  <c r="C70" i="12"/>
  <c r="G189" i="12"/>
  <c r="C189" i="12"/>
  <c r="C187" i="12" s="1"/>
  <c r="G185" i="12"/>
  <c r="G184" i="12"/>
  <c r="G182" i="12"/>
  <c r="G181" i="12"/>
  <c r="G180" i="12"/>
  <c r="G179" i="12"/>
  <c r="M172" i="12"/>
  <c r="C170" i="12"/>
  <c r="G64" i="12"/>
  <c r="P32" i="17" s="1"/>
  <c r="G62" i="12"/>
  <c r="P30" i="17" s="1"/>
  <c r="K150" i="12"/>
  <c r="G59" i="12"/>
  <c r="P27" i="17" s="1"/>
  <c r="G55" i="12"/>
  <c r="P23" i="17" s="1"/>
  <c r="G54" i="12"/>
  <c r="P22" i="17" s="1"/>
  <c r="G50" i="12"/>
  <c r="P19" i="17" s="1"/>
  <c r="M47" i="12"/>
  <c r="L47" i="12"/>
  <c r="K47" i="12"/>
  <c r="G47" i="12"/>
  <c r="P17" i="17" s="1"/>
  <c r="P16" i="17" s="1"/>
  <c r="M44" i="12"/>
  <c r="L44" i="12"/>
  <c r="K44" i="12"/>
  <c r="K162" i="12" s="1"/>
  <c r="G44" i="12"/>
  <c r="P13" i="17" s="1"/>
  <c r="M43" i="12"/>
  <c r="L43" i="12"/>
  <c r="K43" i="12"/>
  <c r="K161" i="12" s="1"/>
  <c r="M42" i="12"/>
  <c r="L42" i="12"/>
  <c r="K42" i="12"/>
  <c r="G42" i="12"/>
  <c r="P11" i="17" s="1"/>
  <c r="M41" i="12"/>
  <c r="L41" i="12"/>
  <c r="K41" i="12"/>
  <c r="G41" i="12"/>
  <c r="M39" i="12"/>
  <c r="C37" i="12"/>
  <c r="C32" i="12"/>
  <c r="G31" i="12"/>
  <c r="E28" i="17" s="1"/>
  <c r="G30" i="12"/>
  <c r="J47" i="19" s="1"/>
  <c r="C28" i="12"/>
  <c r="G27" i="12"/>
  <c r="G26" i="12"/>
  <c r="E26" i="17" s="1"/>
  <c r="C23" i="12"/>
  <c r="C24" i="17" s="1"/>
  <c r="G22" i="12"/>
  <c r="J25" i="19" s="1"/>
  <c r="O25" i="12"/>
  <c r="U25" i="12" s="1"/>
  <c r="Y24" i="8" s="1"/>
  <c r="M25" i="12"/>
  <c r="L25" i="12"/>
  <c r="K25" i="12"/>
  <c r="G25" i="12"/>
  <c r="E22" i="17" s="1"/>
  <c r="M21" i="12"/>
  <c r="L21" i="12"/>
  <c r="K21" i="12"/>
  <c r="G21" i="12"/>
  <c r="J24" i="19" s="1"/>
  <c r="C201" i="12"/>
  <c r="G73" i="17" s="1"/>
  <c r="G18" i="12"/>
  <c r="J21" i="19" s="1"/>
  <c r="O17" i="12"/>
  <c r="M17" i="12"/>
  <c r="L17" i="12"/>
  <c r="K17" i="12"/>
  <c r="G17" i="12"/>
  <c r="E17" i="17" s="1"/>
  <c r="G14" i="12"/>
  <c r="J22" i="19" s="1"/>
  <c r="O13" i="12"/>
  <c r="O165" i="12" s="1"/>
  <c r="M13" i="12"/>
  <c r="L13" i="12"/>
  <c r="K13" i="12"/>
  <c r="G13" i="12"/>
  <c r="E13" i="17" s="1"/>
  <c r="O199" i="12"/>
  <c r="K10" i="12"/>
  <c r="G10" i="12"/>
  <c r="J18" i="19" s="1"/>
  <c r="O8" i="12"/>
  <c r="L8" i="12"/>
  <c r="N8" i="12" s="1"/>
  <c r="C6" i="12"/>
  <c r="B2" i="12"/>
  <c r="L59" i="8"/>
  <c r="L58" i="8"/>
  <c r="K56" i="8"/>
  <c r="L39" i="8"/>
  <c r="L35" i="8"/>
  <c r="C27" i="8"/>
  <c r="L34" i="8"/>
  <c r="C25" i="8"/>
  <c r="C142" i="12" s="1"/>
  <c r="L33" i="8"/>
  <c r="L32" i="8"/>
  <c r="K30" i="8"/>
  <c r="L25" i="8"/>
  <c r="L24" i="8"/>
  <c r="L23" i="8"/>
  <c r="L19" i="8"/>
  <c r="L15" i="8"/>
  <c r="R12" i="8"/>
  <c r="P10" i="12" s="1"/>
  <c r="P162" i="12" s="1"/>
  <c r="L12" i="8"/>
  <c r="M13" i="8" s="1"/>
  <c r="G15" i="8"/>
  <c r="Q8" i="8"/>
  <c r="N8" i="8"/>
  <c r="P8" i="8" s="1"/>
  <c r="K10" i="8"/>
  <c r="C6" i="8"/>
  <c r="B106" i="8"/>
  <c r="C2" i="8"/>
  <c r="B105" i="8"/>
  <c r="N94" i="17"/>
  <c r="N56" i="17"/>
  <c r="C80" i="17"/>
  <c r="C78" i="17"/>
  <c r="W3" i="17"/>
  <c r="B2" i="17"/>
  <c r="P79" i="12" l="1"/>
  <c r="Q45" i="8"/>
  <c r="M154" i="12"/>
  <c r="L160" i="12"/>
  <c r="L154" i="12"/>
  <c r="M48" i="12"/>
  <c r="K160" i="12"/>
  <c r="K166" i="12" s="1"/>
  <c r="K154" i="12"/>
  <c r="O55" i="12"/>
  <c r="R23" i="17" s="1"/>
  <c r="P44" i="12"/>
  <c r="L161" i="12"/>
  <c r="M161" i="12"/>
  <c r="M162" i="12"/>
  <c r="M160" i="12"/>
  <c r="L162" i="12"/>
  <c r="L45" i="12"/>
  <c r="M45" i="12"/>
  <c r="K155" i="12"/>
  <c r="K48" i="12"/>
  <c r="L155" i="12"/>
  <c r="L48" i="12"/>
  <c r="K45" i="12"/>
  <c r="G17" i="17"/>
  <c r="Q7" i="8"/>
  <c r="O7" i="12" s="1"/>
  <c r="L150" i="12"/>
  <c r="L196" i="12"/>
  <c r="N123" i="12"/>
  <c r="P10" i="17"/>
  <c r="G208" i="12"/>
  <c r="E44" i="17"/>
  <c r="N18" i="19"/>
  <c r="E42" i="17"/>
  <c r="G211" i="12"/>
  <c r="E45" i="17"/>
  <c r="E43" i="17"/>
  <c r="G212" i="12"/>
  <c r="O196" i="12"/>
  <c r="N8" i="19"/>
  <c r="N82" i="19" s="1"/>
  <c r="AA41" i="19"/>
  <c r="Z44" i="19"/>
  <c r="E27" i="17"/>
  <c r="K123" i="12"/>
  <c r="L118" i="12"/>
  <c r="L119" i="12"/>
  <c r="L123" i="12"/>
  <c r="M118" i="12"/>
  <c r="M119" i="12"/>
  <c r="M123" i="12"/>
  <c r="K151" i="12"/>
  <c r="K118" i="12"/>
  <c r="K119" i="12"/>
  <c r="O123" i="12"/>
  <c r="M91" i="14"/>
  <c r="A43" i="14"/>
  <c r="A70" i="14" s="1"/>
  <c r="A84" i="14" s="1"/>
  <c r="A111" i="14" s="1"/>
  <c r="A120" i="14" s="1"/>
  <c r="O22" i="15"/>
  <c r="E10" i="17"/>
  <c r="E18" i="17"/>
  <c r="E23" i="17"/>
  <c r="E21" i="17"/>
  <c r="E14" i="17"/>
  <c r="C32" i="15"/>
  <c r="C23" i="15"/>
  <c r="P37" i="15"/>
  <c r="P213" i="12" s="1"/>
  <c r="O37" i="15"/>
  <c r="O213" i="12" s="1"/>
  <c r="N37" i="15"/>
  <c r="Q37" i="15"/>
  <c r="Q213" i="12" s="1"/>
  <c r="R37" i="15"/>
  <c r="C29" i="17"/>
  <c r="C19" i="17"/>
  <c r="S12" i="8"/>
  <c r="Q10" i="12" s="1"/>
  <c r="Q162" i="12" s="1"/>
  <c r="L72" i="12"/>
  <c r="C15" i="17"/>
  <c r="G22" i="17"/>
  <c r="M50" i="15"/>
  <c r="Q90" i="17" s="1"/>
  <c r="M155" i="12"/>
  <c r="G10" i="17"/>
  <c r="N8" i="15"/>
  <c r="G8" i="17"/>
  <c r="P8" i="12"/>
  <c r="G13" i="17"/>
  <c r="M49" i="15"/>
  <c r="Q89" i="17" s="1"/>
  <c r="O72" i="12"/>
  <c r="M8" i="8"/>
  <c r="R15" i="8"/>
  <c r="P13" i="12" s="1"/>
  <c r="P165" i="12" s="1"/>
  <c r="L14" i="12"/>
  <c r="N124" i="12" s="1"/>
  <c r="K14" i="12"/>
  <c r="P199" i="12"/>
  <c r="R8" i="8"/>
  <c r="L172" i="12"/>
  <c r="M150" i="12"/>
  <c r="L151" i="12"/>
  <c r="K11" i="12"/>
  <c r="L39" i="12"/>
  <c r="M151" i="12"/>
  <c r="L11" i="12"/>
  <c r="K8" i="12"/>
  <c r="M11" i="12"/>
  <c r="O39" i="12"/>
  <c r="O14" i="12"/>
  <c r="N19" i="19"/>
  <c r="P87" i="12"/>
  <c r="N22" i="15"/>
  <c r="O87" i="12"/>
  <c r="Q22" i="15"/>
  <c r="R87" i="12"/>
  <c r="P22" i="15"/>
  <c r="Q87" i="12"/>
  <c r="M14" i="12"/>
  <c r="L106" i="12"/>
  <c r="O172" i="12"/>
  <c r="N30" i="15"/>
  <c r="N53" i="15" s="1"/>
  <c r="Q94" i="17" s="1"/>
  <c r="O106" i="12"/>
  <c r="R35" i="8" l="1"/>
  <c r="S13" i="17"/>
  <c r="M50" i="12"/>
  <c r="O82" i="12"/>
  <c r="Q79" i="12"/>
  <c r="K167" i="12"/>
  <c r="R45" i="8"/>
  <c r="L166" i="12"/>
  <c r="Q44" i="12"/>
  <c r="T13" i="17" s="1"/>
  <c r="P55" i="12"/>
  <c r="S23" i="17" s="1"/>
  <c r="M166" i="12"/>
  <c r="K156" i="12"/>
  <c r="L156" i="12"/>
  <c r="O171" i="12"/>
  <c r="M138" i="12"/>
  <c r="M62" i="12"/>
  <c r="L50" i="12"/>
  <c r="L62" i="12" s="1"/>
  <c r="L64" i="12" s="1"/>
  <c r="K50" i="12"/>
  <c r="K62" i="12" s="1"/>
  <c r="K148" i="12" s="1"/>
  <c r="K196" i="12"/>
  <c r="O195" i="12"/>
  <c r="N29" i="15"/>
  <c r="N7" i="19"/>
  <c r="N7" i="15"/>
  <c r="O105" i="12"/>
  <c r="O107" i="12" s="1"/>
  <c r="O164" i="12" s="1"/>
  <c r="O71" i="12"/>
  <c r="O38" i="12"/>
  <c r="G7" i="17"/>
  <c r="R7" i="17" s="1"/>
  <c r="G39" i="17" s="1"/>
  <c r="P7" i="8"/>
  <c r="R7" i="8"/>
  <c r="M213" i="12"/>
  <c r="N213" i="12"/>
  <c r="N196" i="12"/>
  <c r="N39" i="12"/>
  <c r="N106" i="12"/>
  <c r="N172" i="12"/>
  <c r="N72" i="12"/>
  <c r="M210" i="12"/>
  <c r="N210" i="12"/>
  <c r="R213" i="12"/>
  <c r="S213" i="12" s="1"/>
  <c r="I138" i="14"/>
  <c r="C34" i="15"/>
  <c r="C211" i="12"/>
  <c r="D100" i="17" s="1"/>
  <c r="R8" i="17"/>
  <c r="G40" i="17" s="1"/>
  <c r="O18" i="19"/>
  <c r="H43" i="17"/>
  <c r="G43" i="17"/>
  <c r="I43" i="17"/>
  <c r="J43" i="17"/>
  <c r="P196" i="12"/>
  <c r="O210" i="12" s="1"/>
  <c r="O8" i="19"/>
  <c r="O82" i="19" s="1"/>
  <c r="AB41" i="19"/>
  <c r="AA44" i="19"/>
  <c r="M124" i="12"/>
  <c r="K124" i="12"/>
  <c r="O124" i="12"/>
  <c r="L18" i="12"/>
  <c r="L124" i="12"/>
  <c r="P123" i="12"/>
  <c r="M92" i="14"/>
  <c r="S87" i="12"/>
  <c r="R22" i="15"/>
  <c r="O30" i="15"/>
  <c r="Q199" i="12"/>
  <c r="S15" i="8"/>
  <c r="Q13" i="12" s="1"/>
  <c r="Q165" i="12" s="1"/>
  <c r="T12" i="8"/>
  <c r="R10" i="12" s="1"/>
  <c r="R162" i="12" s="1"/>
  <c r="R16" i="8"/>
  <c r="K15" i="12"/>
  <c r="K106" i="12"/>
  <c r="L15" i="12"/>
  <c r="P39" i="12"/>
  <c r="P172" i="12"/>
  <c r="O8" i="15"/>
  <c r="P72" i="12"/>
  <c r="K18" i="12"/>
  <c r="Q8" i="12"/>
  <c r="G14" i="17"/>
  <c r="G18" i="17" s="1"/>
  <c r="G11" i="17"/>
  <c r="M156" i="12"/>
  <c r="P106" i="12"/>
  <c r="H8" i="17"/>
  <c r="S8" i="17" s="1"/>
  <c r="H40" i="17" s="1"/>
  <c r="H13" i="17"/>
  <c r="H10" i="17"/>
  <c r="S8" i="8"/>
  <c r="P11" i="12"/>
  <c r="O19" i="19" s="1"/>
  <c r="P14" i="12"/>
  <c r="P124" i="12" s="1"/>
  <c r="K72" i="12"/>
  <c r="K172" i="12"/>
  <c r="K39" i="12"/>
  <c r="M15" i="12"/>
  <c r="M18" i="12"/>
  <c r="M22" i="12" s="1"/>
  <c r="M27" i="12" s="1"/>
  <c r="M145" i="12" s="1"/>
  <c r="O145" i="12" s="1"/>
  <c r="N26" i="19" s="1"/>
  <c r="O15" i="12"/>
  <c r="O18" i="12"/>
  <c r="P82" i="12" l="1"/>
  <c r="R79" i="12"/>
  <c r="O160" i="12"/>
  <c r="O161" i="12"/>
  <c r="L167" i="12"/>
  <c r="M167" i="12"/>
  <c r="S35" i="8"/>
  <c r="S45" i="8"/>
  <c r="P145" i="12"/>
  <c r="O26" i="19" s="1"/>
  <c r="R44" i="12"/>
  <c r="U13" i="17" s="1"/>
  <c r="Q55" i="12"/>
  <c r="L138" i="12"/>
  <c r="M128" i="12"/>
  <c r="K128" i="12"/>
  <c r="K64" i="12"/>
  <c r="K65" i="12" s="1"/>
  <c r="M64" i="12"/>
  <c r="K138" i="12"/>
  <c r="L128" i="12"/>
  <c r="S7" i="8"/>
  <c r="P7" i="12"/>
  <c r="O7" i="8"/>
  <c r="N7" i="12"/>
  <c r="L22" i="12"/>
  <c r="L27" i="12" s="1"/>
  <c r="L145" i="12" s="1"/>
  <c r="N125" i="12"/>
  <c r="L65" i="12"/>
  <c r="K22" i="12"/>
  <c r="K27" i="12" s="1"/>
  <c r="K145" i="12" s="1"/>
  <c r="O200" i="12"/>
  <c r="P18" i="19"/>
  <c r="N21" i="19"/>
  <c r="K43" i="17"/>
  <c r="P8" i="19"/>
  <c r="P82" i="19" s="1"/>
  <c r="Q196" i="12"/>
  <c r="P210" i="12" s="1"/>
  <c r="AC41" i="19"/>
  <c r="L148" i="12"/>
  <c r="L114" i="12" s="1"/>
  <c r="L19" i="12"/>
  <c r="K125" i="12"/>
  <c r="M129" i="12"/>
  <c r="M110" i="12"/>
  <c r="M125" i="12"/>
  <c r="O125" i="12"/>
  <c r="L110" i="12"/>
  <c r="L125" i="12"/>
  <c r="Q123" i="12"/>
  <c r="M93" i="14"/>
  <c r="H11" i="17"/>
  <c r="R19" i="8"/>
  <c r="P17" i="12" s="1"/>
  <c r="T15" i="8"/>
  <c r="R13" i="12" s="1"/>
  <c r="R165" i="12" s="1"/>
  <c r="R199" i="12"/>
  <c r="I13" i="17"/>
  <c r="Q11" i="12"/>
  <c r="P19" i="19" s="1"/>
  <c r="U12" i="8"/>
  <c r="S10" i="12" s="1"/>
  <c r="S162" i="12" s="1"/>
  <c r="S79" i="12" s="1"/>
  <c r="I10" i="17"/>
  <c r="Q14" i="12"/>
  <c r="Q124" i="12" s="1"/>
  <c r="S16" i="8"/>
  <c r="K110" i="12"/>
  <c r="K19" i="12"/>
  <c r="I8" i="17"/>
  <c r="T8" i="17" s="1"/>
  <c r="I40" i="17" s="1"/>
  <c r="Q39" i="12"/>
  <c r="Q72" i="12"/>
  <c r="Q106" i="12"/>
  <c r="P30" i="15"/>
  <c r="Q172" i="12"/>
  <c r="R8" i="12"/>
  <c r="P8" i="15"/>
  <c r="H14" i="17"/>
  <c r="G15" i="17"/>
  <c r="P15" i="12"/>
  <c r="H15" i="17" s="1"/>
  <c r="T8" i="8"/>
  <c r="M19" i="12"/>
  <c r="M148" i="12"/>
  <c r="O19" i="12"/>
  <c r="Q82" i="12" l="1"/>
  <c r="T23" i="17"/>
  <c r="T35" i="8"/>
  <c r="Q145" i="12"/>
  <c r="P26" i="19" s="1"/>
  <c r="O43" i="12"/>
  <c r="O42" i="12"/>
  <c r="U10" i="12"/>
  <c r="Y12" i="8" s="1"/>
  <c r="J13" i="17"/>
  <c r="K129" i="12"/>
  <c r="O201" i="12"/>
  <c r="P71" i="12"/>
  <c r="K114" i="12"/>
  <c r="L129" i="12"/>
  <c r="H17" i="17"/>
  <c r="H18" i="17" s="1"/>
  <c r="O29" i="15"/>
  <c r="P195" i="12"/>
  <c r="O7" i="19"/>
  <c r="P171" i="12"/>
  <c r="H7" i="17"/>
  <c r="S7" i="17" s="1"/>
  <c r="H39" i="17" s="1"/>
  <c r="O7" i="15"/>
  <c r="P38" i="12"/>
  <c r="P105" i="12"/>
  <c r="P107" i="12" s="1"/>
  <c r="P164" i="12" s="1"/>
  <c r="N7" i="8"/>
  <c r="M7" i="12"/>
  <c r="T7" i="8"/>
  <c r="Q7" i="12"/>
  <c r="N171" i="12"/>
  <c r="N105" i="12"/>
  <c r="N107" i="12" s="1"/>
  <c r="N164" i="12" s="1"/>
  <c r="N71" i="12"/>
  <c r="N195" i="12"/>
  <c r="N38" i="12"/>
  <c r="M65" i="12"/>
  <c r="R145" i="12"/>
  <c r="N22" i="19"/>
  <c r="Q18" i="19"/>
  <c r="R196" i="12"/>
  <c r="Q210" i="12" s="1"/>
  <c r="Q8" i="19"/>
  <c r="Q82" i="19" s="1"/>
  <c r="L152" i="12"/>
  <c r="AD41" i="19"/>
  <c r="AC44" i="19"/>
  <c r="R123" i="12"/>
  <c r="M94" i="14"/>
  <c r="J10" i="17"/>
  <c r="I11" i="17"/>
  <c r="P18" i="12"/>
  <c r="R14" i="12"/>
  <c r="T16" i="8"/>
  <c r="T19" i="8" s="1"/>
  <c r="R17" i="12" s="1"/>
  <c r="J17" i="17" s="1"/>
  <c r="R20" i="8"/>
  <c r="U15" i="8"/>
  <c r="S13" i="12" s="1"/>
  <c r="S19" i="8"/>
  <c r="Q17" i="12" s="1"/>
  <c r="I17" i="17" s="1"/>
  <c r="R11" i="12"/>
  <c r="Q19" i="19" s="1"/>
  <c r="I14" i="17"/>
  <c r="S199" i="12"/>
  <c r="Q15" i="12"/>
  <c r="I15" i="17" s="1"/>
  <c r="G19" i="17"/>
  <c r="S8" i="12"/>
  <c r="Q8" i="15"/>
  <c r="Q30" i="15"/>
  <c r="R172" i="12"/>
  <c r="J8" i="17"/>
  <c r="U8" i="17" s="1"/>
  <c r="J40" i="17" s="1"/>
  <c r="R39" i="12"/>
  <c r="R106" i="12"/>
  <c r="R72" i="12"/>
  <c r="M114" i="12"/>
  <c r="U8" i="8"/>
  <c r="M64" i="8" s="1"/>
  <c r="M152" i="12"/>
  <c r="U125" i="12" l="1"/>
  <c r="Q33" i="8"/>
  <c r="R11" i="17"/>
  <c r="Q34" i="8"/>
  <c r="R12" i="17"/>
  <c r="S165" i="12"/>
  <c r="S55" i="12" s="1"/>
  <c r="P160" i="12"/>
  <c r="P161" i="12"/>
  <c r="N160" i="12"/>
  <c r="O77" i="12" s="1"/>
  <c r="N161" i="12"/>
  <c r="T45" i="8"/>
  <c r="J14" i="17"/>
  <c r="J18" i="17" s="1"/>
  <c r="R55" i="12"/>
  <c r="U23" i="17" s="1"/>
  <c r="S44" i="12"/>
  <c r="V13" i="17" s="1"/>
  <c r="U162" i="12"/>
  <c r="L157" i="12"/>
  <c r="M113" i="12"/>
  <c r="M157" i="12"/>
  <c r="P7" i="19"/>
  <c r="K152" i="12"/>
  <c r="C103" i="14"/>
  <c r="U8" i="12"/>
  <c r="U7" i="12"/>
  <c r="U13" i="12"/>
  <c r="Y15" i="8" s="1"/>
  <c r="Q26" i="19"/>
  <c r="U145" i="12"/>
  <c r="M7" i="8"/>
  <c r="K7" i="12" s="1"/>
  <c r="L7" i="12"/>
  <c r="Q195" i="12"/>
  <c r="I7" i="17"/>
  <c r="T7" i="17" s="1"/>
  <c r="I39" i="17" s="1"/>
  <c r="P29" i="15"/>
  <c r="Q38" i="12"/>
  <c r="P7" i="15"/>
  <c r="F7" i="17"/>
  <c r="Q7" i="17" s="1"/>
  <c r="F39" i="17" s="1"/>
  <c r="M105" i="12"/>
  <c r="M107" i="12" s="1"/>
  <c r="M143" i="12" s="1"/>
  <c r="M38" i="12"/>
  <c r="M7" i="15"/>
  <c r="M45" i="15" s="1"/>
  <c r="Q85" i="17" s="1"/>
  <c r="M7" i="19"/>
  <c r="M171" i="12"/>
  <c r="M195" i="12"/>
  <c r="M71" i="12"/>
  <c r="Q171" i="12"/>
  <c r="Q71" i="12"/>
  <c r="Q105" i="12"/>
  <c r="Q107" i="12" s="1"/>
  <c r="Q164" i="12" s="1"/>
  <c r="U7" i="8"/>
  <c r="S7" i="12" s="1"/>
  <c r="R7" i="12"/>
  <c r="S145" i="12"/>
  <c r="R26" i="19" s="1"/>
  <c r="S26" i="19" s="1"/>
  <c r="T26" i="19" s="1"/>
  <c r="U26" i="19" s="1"/>
  <c r="V26" i="19" s="1"/>
  <c r="W26" i="19" s="1"/>
  <c r="X26" i="19" s="1"/>
  <c r="Y26" i="19" s="1"/>
  <c r="Z26" i="19" s="1"/>
  <c r="AA26" i="19" s="1"/>
  <c r="AB26" i="19" s="1"/>
  <c r="AC26" i="19" s="1"/>
  <c r="AD26" i="19" s="1"/>
  <c r="AE26" i="19" s="1"/>
  <c r="AF26" i="19" s="1"/>
  <c r="AG26" i="19" s="1"/>
  <c r="AH26" i="19" s="1"/>
  <c r="AI26" i="19" s="1"/>
  <c r="AJ26" i="19" s="1"/>
  <c r="AK26" i="19" s="1"/>
  <c r="AL26" i="19" s="1"/>
  <c r="AM26" i="19" s="1"/>
  <c r="AN26" i="19" s="1"/>
  <c r="AO26" i="19" s="1"/>
  <c r="AP26" i="19" s="1"/>
  <c r="AQ26" i="19" s="1"/>
  <c r="AR26" i="19" s="1"/>
  <c r="AS26" i="19" s="1"/>
  <c r="AT26" i="19" s="1"/>
  <c r="AU26" i="19" s="1"/>
  <c r="AV26" i="19" s="1"/>
  <c r="P200" i="12"/>
  <c r="L113" i="12"/>
  <c r="M134" i="12"/>
  <c r="M133" i="12"/>
  <c r="O21" i="19"/>
  <c r="R18" i="19"/>
  <c r="S18" i="19" s="1"/>
  <c r="S196" i="12"/>
  <c r="R210" i="12" s="1"/>
  <c r="R8" i="19"/>
  <c r="C104" i="14"/>
  <c r="AE41" i="19"/>
  <c r="AD44" i="19"/>
  <c r="I135" i="14"/>
  <c r="I134" i="14"/>
  <c r="I130" i="14"/>
  <c r="I126" i="14"/>
  <c r="I127" i="14"/>
  <c r="I128" i="14"/>
  <c r="I129" i="14"/>
  <c r="I131" i="14"/>
  <c r="I132" i="14"/>
  <c r="I133" i="14"/>
  <c r="P125" i="12"/>
  <c r="R15" i="12"/>
  <c r="J15" i="17" s="1"/>
  <c r="R124" i="12"/>
  <c r="S123" i="12"/>
  <c r="K72" i="14"/>
  <c r="C12" i="14"/>
  <c r="M95" i="14"/>
  <c r="C56" i="14"/>
  <c r="C34" i="14"/>
  <c r="M74" i="14"/>
  <c r="O74" i="14" s="1"/>
  <c r="J11" i="17"/>
  <c r="P19" i="12"/>
  <c r="R18" i="12"/>
  <c r="U16" i="8"/>
  <c r="U19" i="8" s="1"/>
  <c r="K13" i="17"/>
  <c r="T20" i="8"/>
  <c r="I18" i="17"/>
  <c r="S20" i="8"/>
  <c r="Q18" i="12"/>
  <c r="S11" i="12"/>
  <c r="R19" i="19" s="1"/>
  <c r="K10" i="17"/>
  <c r="S14" i="12"/>
  <c r="S124" i="12" s="1"/>
  <c r="R30" i="15"/>
  <c r="S39" i="12"/>
  <c r="S172" i="12"/>
  <c r="S72" i="12"/>
  <c r="R8" i="15"/>
  <c r="K8" i="17"/>
  <c r="S106" i="12"/>
  <c r="S82" i="12" l="1"/>
  <c r="V23" i="17"/>
  <c r="U11" i="12"/>
  <c r="U123" i="12"/>
  <c r="U124" i="12"/>
  <c r="R82" i="12"/>
  <c r="U82" i="12" s="1"/>
  <c r="U165" i="12"/>
  <c r="U45" i="8"/>
  <c r="U90" i="12"/>
  <c r="N77" i="12"/>
  <c r="N78" i="12"/>
  <c r="O78" i="12"/>
  <c r="P78" i="12"/>
  <c r="P77" i="12"/>
  <c r="Q160" i="12"/>
  <c r="Q77" i="12" s="1"/>
  <c r="Q161" i="12"/>
  <c r="U79" i="12"/>
  <c r="N43" i="12"/>
  <c r="P43" i="12"/>
  <c r="M142" i="12"/>
  <c r="M141" i="12"/>
  <c r="U35" i="8"/>
  <c r="U44" i="12"/>
  <c r="U55" i="12"/>
  <c r="P42" i="12"/>
  <c r="S11" i="17" s="1"/>
  <c r="N42" i="12"/>
  <c r="Q11" i="17" s="1"/>
  <c r="P201" i="12"/>
  <c r="K113" i="12"/>
  <c r="K157" i="12"/>
  <c r="R105" i="12"/>
  <c r="R107" i="12" s="1"/>
  <c r="R164" i="12" s="1"/>
  <c r="R7" i="15"/>
  <c r="K134" i="12"/>
  <c r="L133" i="12"/>
  <c r="K133" i="12"/>
  <c r="L134" i="12"/>
  <c r="U72" i="12"/>
  <c r="U106" i="12"/>
  <c r="U39" i="12"/>
  <c r="U172" i="12"/>
  <c r="U14" i="12"/>
  <c r="Y16" i="8" s="1"/>
  <c r="U171" i="12"/>
  <c r="U105" i="12"/>
  <c r="U38" i="12"/>
  <c r="U71" i="12"/>
  <c r="C179" i="12" a="1"/>
  <c r="S180" i="12" s="1"/>
  <c r="R195" i="12"/>
  <c r="R38" i="12"/>
  <c r="R71" i="12"/>
  <c r="R171" i="12"/>
  <c r="S71" i="12"/>
  <c r="S105" i="12"/>
  <c r="S107" i="12" s="1"/>
  <c r="S164" i="12" s="1"/>
  <c r="Q7" i="15"/>
  <c r="L195" i="12"/>
  <c r="L38" i="12"/>
  <c r="L105" i="12"/>
  <c r="L107" i="12" s="1"/>
  <c r="L143" i="12" s="1"/>
  <c r="L71" i="12"/>
  <c r="L171" i="12"/>
  <c r="Q29" i="15"/>
  <c r="J7" i="17"/>
  <c r="U7" i="17" s="1"/>
  <c r="J39" i="17" s="1"/>
  <c r="Q7" i="19"/>
  <c r="R29" i="15"/>
  <c r="K7" i="17"/>
  <c r="V7" i="17" s="1"/>
  <c r="K39" i="17" s="1"/>
  <c r="S171" i="12"/>
  <c r="S195" i="12"/>
  <c r="S38" i="12"/>
  <c r="R7" i="19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AH7" i="19" s="1"/>
  <c r="AI7" i="19" s="1"/>
  <c r="AJ7" i="19" s="1"/>
  <c r="AK7" i="19" s="1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H13" i="14"/>
  <c r="R200" i="12"/>
  <c r="Q200" i="12"/>
  <c r="T18" i="19"/>
  <c r="U18" i="19" s="1"/>
  <c r="Q21" i="19"/>
  <c r="O22" i="19"/>
  <c r="R82" i="19"/>
  <c r="S8" i="19"/>
  <c r="Q125" i="12"/>
  <c r="P21" i="19"/>
  <c r="AF41" i="19"/>
  <c r="AE44" i="19"/>
  <c r="H129" i="14"/>
  <c r="O224" i="12" s="1"/>
  <c r="X14" i="12"/>
  <c r="R125" i="12"/>
  <c r="G61" i="14"/>
  <c r="K11" i="17"/>
  <c r="R19" i="12"/>
  <c r="H19" i="17"/>
  <c r="Q19" i="12"/>
  <c r="K14" i="17"/>
  <c r="U20" i="8"/>
  <c r="V8" i="17"/>
  <c r="K40" i="17" s="1"/>
  <c r="S17" i="12"/>
  <c r="S15" i="12"/>
  <c r="K15" i="17" s="1"/>
  <c r="X165" i="12" l="1"/>
  <c r="R34" i="8"/>
  <c r="S12" i="17"/>
  <c r="P34" i="8"/>
  <c r="Q12" i="17"/>
  <c r="Q78" i="12"/>
  <c r="S161" i="12"/>
  <c r="R160" i="12"/>
  <c r="R161" i="12"/>
  <c r="U107" i="12"/>
  <c r="S160" i="12"/>
  <c r="U160" i="12" s="1"/>
  <c r="S182" i="12"/>
  <c r="S183" i="12"/>
  <c r="S181" i="12"/>
  <c r="O180" i="12"/>
  <c r="P180" i="12"/>
  <c r="P181" i="12"/>
  <c r="Q182" i="12"/>
  <c r="Q181" i="12"/>
  <c r="Q180" i="12"/>
  <c r="R180" i="12"/>
  <c r="R183" i="12"/>
  <c r="R182" i="12"/>
  <c r="R181" i="12"/>
  <c r="S184" i="12"/>
  <c r="U184" i="12" s="1"/>
  <c r="X162" i="12"/>
  <c r="X44" i="12"/>
  <c r="M144" i="12"/>
  <c r="Q43" i="12"/>
  <c r="L141" i="12"/>
  <c r="L142" i="12"/>
  <c r="R33" i="8"/>
  <c r="P33" i="8"/>
  <c r="Q42" i="12"/>
  <c r="Q201" i="12"/>
  <c r="R201" i="12"/>
  <c r="C179" i="12"/>
  <c r="U15" i="12"/>
  <c r="S18" i="12"/>
  <c r="S200" i="12" s="1"/>
  <c r="U17" i="12"/>
  <c r="K195" i="12"/>
  <c r="K71" i="12"/>
  <c r="K171" i="12"/>
  <c r="K105" i="12"/>
  <c r="K107" i="12" s="1"/>
  <c r="K143" i="12" s="1"/>
  <c r="K38" i="12"/>
  <c r="M70" i="8"/>
  <c r="P22" i="19"/>
  <c r="Q22" i="19"/>
  <c r="T8" i="19"/>
  <c r="S82" i="19"/>
  <c r="V18" i="19"/>
  <c r="AG41" i="19"/>
  <c r="AF44" i="19"/>
  <c r="G62" i="14"/>
  <c r="L57" i="14" s="1"/>
  <c r="I19" i="17"/>
  <c r="J19" i="17"/>
  <c r="K17" i="17"/>
  <c r="K18" i="17" s="1"/>
  <c r="S34" i="8" l="1"/>
  <c r="T12" i="17"/>
  <c r="S33" i="8"/>
  <c r="T11" i="17"/>
  <c r="P36" i="8"/>
  <c r="S78" i="12"/>
  <c r="R78" i="12"/>
  <c r="S77" i="12"/>
  <c r="R77" i="12"/>
  <c r="O179" i="12"/>
  <c r="P179" i="12"/>
  <c r="N179" i="12"/>
  <c r="Q179" i="12"/>
  <c r="R179" i="12"/>
  <c r="S179" i="12"/>
  <c r="R43" i="12"/>
  <c r="U12" i="17" s="1"/>
  <c r="R42" i="12"/>
  <c r="L144" i="12"/>
  <c r="K141" i="12"/>
  <c r="K142" i="12"/>
  <c r="S43" i="12"/>
  <c r="U161" i="12"/>
  <c r="S42" i="12"/>
  <c r="V11" i="17" s="1"/>
  <c r="U183" i="12"/>
  <c r="U18" i="12"/>
  <c r="Y20" i="8" s="1"/>
  <c r="Y19" i="8"/>
  <c r="U182" i="12"/>
  <c r="U181" i="12"/>
  <c r="U180" i="12"/>
  <c r="S19" i="12"/>
  <c r="R21" i="19"/>
  <c r="X18" i="12"/>
  <c r="M75" i="14"/>
  <c r="O75" i="14" s="1"/>
  <c r="H130" i="14" s="1"/>
  <c r="O225" i="12" s="1"/>
  <c r="S125" i="12"/>
  <c r="U8" i="19"/>
  <c r="T82" i="19"/>
  <c r="W18" i="19"/>
  <c r="AH41" i="19"/>
  <c r="L56" i="14"/>
  <c r="U34" i="8" l="1"/>
  <c r="V12" i="17"/>
  <c r="T33" i="8"/>
  <c r="U11" i="17"/>
  <c r="T34" i="8"/>
  <c r="U19" i="12"/>
  <c r="U78" i="12"/>
  <c r="K144" i="12"/>
  <c r="U43" i="12"/>
  <c r="U42" i="12"/>
  <c r="U33" i="8"/>
  <c r="U77" i="12"/>
  <c r="S201" i="12"/>
  <c r="U179" i="12"/>
  <c r="U185" i="12" s="1"/>
  <c r="N185" i="12"/>
  <c r="N188" i="12" s="1"/>
  <c r="N189" i="12" s="1"/>
  <c r="N47" i="12" s="1"/>
  <c r="K19" i="17"/>
  <c r="R22" i="19"/>
  <c r="M71" i="8"/>
  <c r="U82" i="19"/>
  <c r="V8" i="19"/>
  <c r="X18" i="19"/>
  <c r="AH44" i="19"/>
  <c r="AI41" i="19"/>
  <c r="J129" i="14"/>
  <c r="P224" i="12" s="1"/>
  <c r="J130" i="14"/>
  <c r="P225" i="12" s="1"/>
  <c r="P38" i="8" l="1"/>
  <c r="P39" i="8" s="1"/>
  <c r="P41" i="8" s="1"/>
  <c r="N48" i="12"/>
  <c r="N155" i="12"/>
  <c r="N207" i="12" s="1"/>
  <c r="X42" i="12"/>
  <c r="X161" i="12"/>
  <c r="X43" i="12"/>
  <c r="X160" i="12"/>
  <c r="N21" i="12"/>
  <c r="W8" i="19"/>
  <c r="V82" i="19"/>
  <c r="Y18" i="19"/>
  <c r="AI44" i="19"/>
  <c r="AJ41" i="19"/>
  <c r="P23" i="8" l="1"/>
  <c r="F21" i="17"/>
  <c r="F23" i="17" s="1"/>
  <c r="N76" i="12"/>
  <c r="N22" i="12"/>
  <c r="W82" i="19"/>
  <c r="X8" i="19"/>
  <c r="Z18" i="19"/>
  <c r="AJ44" i="19"/>
  <c r="AK41" i="19"/>
  <c r="N126" i="12" l="1"/>
  <c r="N23" i="12"/>
  <c r="F24" i="17" s="1"/>
  <c r="Y8" i="19"/>
  <c r="X82" i="19"/>
  <c r="AA18" i="19"/>
  <c r="AK44" i="19"/>
  <c r="AL41" i="19"/>
  <c r="AI13" i="19" l="1"/>
  <c r="AT13" i="19"/>
  <c r="AG13" i="19"/>
  <c r="AJ13" i="19"/>
  <c r="AR13" i="19"/>
  <c r="AS13" i="19"/>
  <c r="AN13" i="19"/>
  <c r="AL13" i="19"/>
  <c r="AQ13" i="19"/>
  <c r="AM13" i="19"/>
  <c r="AO13" i="19"/>
  <c r="AP13" i="19"/>
  <c r="AU13" i="19"/>
  <c r="AH13" i="19"/>
  <c r="AK13" i="19"/>
  <c r="Y82" i="19"/>
  <c r="Z8" i="19"/>
  <c r="AB18" i="19"/>
  <c r="AL44" i="19"/>
  <c r="AM41" i="19"/>
  <c r="AG12" i="19" l="1"/>
  <c r="AA8" i="19"/>
  <c r="Z82" i="19"/>
  <c r="AC18" i="19"/>
  <c r="AM44" i="19"/>
  <c r="AN41" i="19"/>
  <c r="AH12" i="19" l="1"/>
  <c r="AG15" i="19"/>
  <c r="AB8" i="19"/>
  <c r="AA82" i="19"/>
  <c r="AD18" i="19"/>
  <c r="AN44" i="19"/>
  <c r="AO41" i="19"/>
  <c r="AG88" i="19" l="1"/>
  <c r="AI12" i="19"/>
  <c r="AH15" i="19"/>
  <c r="AC8" i="19"/>
  <c r="AB82" i="19"/>
  <c r="AE18" i="19"/>
  <c r="AO44" i="19"/>
  <c r="AP41" i="19"/>
  <c r="AH88" i="19" l="1"/>
  <c r="AJ12" i="19"/>
  <c r="AI15" i="19"/>
  <c r="AD8" i="19"/>
  <c r="AC82" i="19"/>
  <c r="AF18" i="19"/>
  <c r="AP44" i="19"/>
  <c r="AQ41" i="19"/>
  <c r="AI88" i="19" l="1"/>
  <c r="AK12" i="19"/>
  <c r="AJ15" i="19"/>
  <c r="AE8" i="19"/>
  <c r="AD82" i="19"/>
  <c r="AG18" i="19"/>
  <c r="AQ44" i="19"/>
  <c r="AR41" i="19"/>
  <c r="AJ88" i="19" l="1"/>
  <c r="AL12" i="19"/>
  <c r="AK15" i="19"/>
  <c r="AF8" i="19"/>
  <c r="AE82" i="19"/>
  <c r="AH18" i="19"/>
  <c r="AR44" i="19"/>
  <c r="AS41" i="19"/>
  <c r="AK88" i="19" l="1"/>
  <c r="AM12" i="19"/>
  <c r="AL15" i="19"/>
  <c r="AG8" i="19"/>
  <c r="AF82" i="19"/>
  <c r="AI18" i="19"/>
  <c r="AS44" i="19"/>
  <c r="AT41" i="19"/>
  <c r="AL88" i="19" l="1"/>
  <c r="AN12" i="19"/>
  <c r="AM15" i="19"/>
  <c r="AG82" i="19"/>
  <c r="AH8" i="19"/>
  <c r="AJ18" i="19"/>
  <c r="AT44" i="19"/>
  <c r="AU41" i="19"/>
  <c r="AM88" i="19" l="1"/>
  <c r="AO12" i="19"/>
  <c r="AN15" i="19"/>
  <c r="AH82" i="19"/>
  <c r="AI8" i="19"/>
  <c r="AK18" i="19"/>
  <c r="AU44" i="19"/>
  <c r="AV41" i="19"/>
  <c r="AN88" i="19" l="1"/>
  <c r="AP12" i="19"/>
  <c r="AO15" i="19"/>
  <c r="AI82" i="19"/>
  <c r="AJ8" i="19"/>
  <c r="AL18" i="19"/>
  <c r="AO88" i="19" l="1"/>
  <c r="AQ12" i="19"/>
  <c r="AP15" i="19"/>
  <c r="AK8" i="19"/>
  <c r="AJ82" i="19"/>
  <c r="AM18" i="19"/>
  <c r="AP88" i="19" l="1"/>
  <c r="AR12" i="19"/>
  <c r="AQ15" i="19"/>
  <c r="AL8" i="19"/>
  <c r="AK82" i="19"/>
  <c r="AN18" i="19"/>
  <c r="AQ88" i="19" l="1"/>
  <c r="AS12" i="19"/>
  <c r="AR15" i="19"/>
  <c r="AM8" i="19"/>
  <c r="AL82" i="19"/>
  <c r="AO18" i="19"/>
  <c r="AR88" i="19" l="1"/>
  <c r="AI38" i="19"/>
  <c r="AH38" i="19"/>
  <c r="AT12" i="19"/>
  <c r="AS15" i="19"/>
  <c r="AN8" i="19"/>
  <c r="AM82" i="19"/>
  <c r="AP18" i="19"/>
  <c r="AS88" i="19" l="1"/>
  <c r="AH40" i="19"/>
  <c r="AH43" i="19"/>
  <c r="AH45" i="19" s="1"/>
  <c r="AI40" i="19"/>
  <c r="AI43" i="19"/>
  <c r="AI45" i="19" s="1"/>
  <c r="AU12" i="19"/>
  <c r="AU15" i="19" s="1"/>
  <c r="AT15" i="19"/>
  <c r="AO8" i="19"/>
  <c r="AN82" i="19"/>
  <c r="AQ18" i="19"/>
  <c r="AT88" i="19" l="1"/>
  <c r="AU88" i="19"/>
  <c r="AJ38" i="19"/>
  <c r="AP8" i="19"/>
  <c r="AO82" i="19"/>
  <c r="AR18" i="19"/>
  <c r="AB39" i="19" l="1"/>
  <c r="AB44" i="19" s="1"/>
  <c r="AJ40" i="19"/>
  <c r="AJ43" i="19"/>
  <c r="AK38" i="19"/>
  <c r="AQ8" i="19"/>
  <c r="AP82" i="19"/>
  <c r="AS18" i="19"/>
  <c r="AK40" i="19" l="1"/>
  <c r="AK43" i="19"/>
  <c r="AK45" i="19" s="1"/>
  <c r="AL38" i="19"/>
  <c r="AJ45" i="19"/>
  <c r="AQ82" i="19"/>
  <c r="AR8" i="19"/>
  <c r="AT18" i="19"/>
  <c r="AM38" i="19" l="1"/>
  <c r="AL40" i="19"/>
  <c r="AL43" i="19"/>
  <c r="AR82" i="19"/>
  <c r="AS8" i="19"/>
  <c r="AU18" i="19"/>
  <c r="AN38" i="19" l="1"/>
  <c r="AL45" i="19"/>
  <c r="AM40" i="19"/>
  <c r="AM43" i="19"/>
  <c r="AM45" i="19" s="1"/>
  <c r="AS82" i="19"/>
  <c r="AT8" i="19"/>
  <c r="AV18" i="19"/>
  <c r="AO38" i="19" l="1"/>
  <c r="AN40" i="19"/>
  <c r="AN43" i="19"/>
  <c r="AT82" i="19"/>
  <c r="AU8" i="19"/>
  <c r="AN45" i="19" l="1"/>
  <c r="AO40" i="19"/>
  <c r="AO43" i="19"/>
  <c r="AO45" i="19" s="1"/>
  <c r="AP38" i="19"/>
  <c r="AU82" i="19"/>
  <c r="AV8" i="19"/>
  <c r="AV82" i="19" s="1"/>
  <c r="AP40" i="19" l="1"/>
  <c r="AP43" i="19"/>
  <c r="AP45" i="19" s="1"/>
  <c r="AQ38" i="19"/>
  <c r="AR38" i="19" l="1"/>
  <c r="AQ40" i="19"/>
  <c r="AQ43" i="19"/>
  <c r="AQ45" i="19" s="1"/>
  <c r="AS38" i="19"/>
  <c r="AS40" i="19" l="1"/>
  <c r="AS43" i="19"/>
  <c r="AS45" i="19" s="1"/>
  <c r="AR40" i="19"/>
  <c r="AR43" i="19"/>
  <c r="AR45" i="19" s="1"/>
  <c r="AT38" i="19" l="1"/>
  <c r="AV38" i="19"/>
  <c r="AV39" i="19"/>
  <c r="AV44" i="19" s="1"/>
  <c r="AU38" i="19" l="1"/>
  <c r="AT40" i="19"/>
  <c r="AT43" i="19"/>
  <c r="AT45" i="19" s="1"/>
  <c r="AV40" i="19"/>
  <c r="AV43" i="19"/>
  <c r="AV45" i="19" l="1"/>
  <c r="AU40" i="19"/>
  <c r="AU43" i="19"/>
  <c r="AU45" i="19" s="1"/>
  <c r="S185" i="12" l="1"/>
  <c r="S21" i="12" s="1"/>
  <c r="U23" i="8" s="1"/>
  <c r="P185" i="12"/>
  <c r="R185" i="12"/>
  <c r="R21" i="12" s="1"/>
  <c r="Q185" i="12"/>
  <c r="Q21" i="12" s="1"/>
  <c r="O185" i="12"/>
  <c r="O188" i="12" s="1"/>
  <c r="O189" i="12" s="1"/>
  <c r="O47" i="12" s="1"/>
  <c r="Q22" i="12" l="1"/>
  <c r="S23" i="8"/>
  <c r="R22" i="12"/>
  <c r="T23" i="8"/>
  <c r="P21" i="12"/>
  <c r="R23" i="8" s="1"/>
  <c r="P188" i="12"/>
  <c r="S22" i="12"/>
  <c r="O21" i="12"/>
  <c r="Q23" i="8" s="1"/>
  <c r="S76" i="12"/>
  <c r="R20" i="15" s="1"/>
  <c r="K21" i="17"/>
  <c r="K23" i="17" s="1"/>
  <c r="R24" i="19"/>
  <c r="Q76" i="12"/>
  <c r="P20" i="15" s="1"/>
  <c r="I21" i="17"/>
  <c r="I23" i="17" s="1"/>
  <c r="P24" i="19"/>
  <c r="P25" i="19" s="1"/>
  <c r="P28" i="19" s="1"/>
  <c r="P27" i="19" s="1"/>
  <c r="O48" i="12"/>
  <c r="J21" i="17"/>
  <c r="J23" i="17" s="1"/>
  <c r="R76" i="12"/>
  <c r="Q20" i="15" s="1"/>
  <c r="Q24" i="19"/>
  <c r="Q25" i="19" s="1"/>
  <c r="Q28" i="19" s="1"/>
  <c r="Q27" i="19" s="1"/>
  <c r="O24" i="19" l="1"/>
  <c r="O25" i="19" s="1"/>
  <c r="O28" i="19" s="1"/>
  <c r="O27" i="19" s="1"/>
  <c r="H21" i="17"/>
  <c r="H23" i="17" s="1"/>
  <c r="P76" i="12"/>
  <c r="O20" i="15" s="1"/>
  <c r="P22" i="12"/>
  <c r="Q188" i="12"/>
  <c r="P189" i="12"/>
  <c r="O22" i="12"/>
  <c r="U126" i="12" s="1"/>
  <c r="U21" i="12"/>
  <c r="X21" i="12" s="1"/>
  <c r="N24" i="19"/>
  <c r="N25" i="19" s="1"/>
  <c r="N28" i="19" s="1"/>
  <c r="N27" i="19" s="1"/>
  <c r="O76" i="12"/>
  <c r="G21" i="17"/>
  <c r="G23" i="17" s="1"/>
  <c r="O155" i="12"/>
  <c r="Q38" i="8"/>
  <c r="Q39" i="8" s="1"/>
  <c r="S24" i="19"/>
  <c r="T24" i="19" s="1"/>
  <c r="U24" i="19" s="1"/>
  <c r="V24" i="19" s="1"/>
  <c r="W24" i="19" s="1"/>
  <c r="X24" i="19" s="1"/>
  <c r="Y24" i="19" s="1"/>
  <c r="Z24" i="19" s="1"/>
  <c r="AA24" i="19" s="1"/>
  <c r="AB24" i="19" s="1"/>
  <c r="AC24" i="19" s="1"/>
  <c r="AD24" i="19" s="1"/>
  <c r="AE24" i="19" s="1"/>
  <c r="AF24" i="19" s="1"/>
  <c r="AG24" i="19" s="1"/>
  <c r="AH24" i="19" s="1"/>
  <c r="AI24" i="19" s="1"/>
  <c r="AJ24" i="19" s="1"/>
  <c r="AK24" i="19" s="1"/>
  <c r="AL24" i="19" s="1"/>
  <c r="AM24" i="19" s="1"/>
  <c r="AN24" i="19" s="1"/>
  <c r="AO24" i="19" s="1"/>
  <c r="AP24" i="19" s="1"/>
  <c r="AQ24" i="19" s="1"/>
  <c r="AR24" i="19" s="1"/>
  <c r="AS24" i="19" s="1"/>
  <c r="AT24" i="19" s="1"/>
  <c r="AU24" i="19" s="1"/>
  <c r="AV24" i="19" s="1"/>
  <c r="R25" i="19"/>
  <c r="R28" i="19" s="1"/>
  <c r="R27" i="19" s="1"/>
  <c r="X22" i="12" l="1"/>
  <c r="P47" i="12"/>
  <c r="P48" i="12" s="1"/>
  <c r="Y23" i="8"/>
  <c r="R188" i="12"/>
  <c r="Q189" i="12"/>
  <c r="N20" i="15"/>
  <c r="U76" i="12"/>
  <c r="X76" i="12" s="1"/>
  <c r="U22" i="12"/>
  <c r="O207" i="12"/>
  <c r="R38" i="8"/>
  <c r="R39" i="8" s="1"/>
  <c r="P155" i="12"/>
  <c r="Q47" i="12" l="1"/>
  <c r="Q48" i="12" s="1"/>
  <c r="S188" i="12"/>
  <c r="R189" i="12"/>
  <c r="R47" i="12" s="1"/>
  <c r="U23" i="12"/>
  <c r="P207" i="12"/>
  <c r="R48" i="12"/>
  <c r="S38" i="8"/>
  <c r="S39" i="8" s="1"/>
  <c r="Q155" i="12" l="1"/>
  <c r="U188" i="12"/>
  <c r="S189" i="12"/>
  <c r="T38" i="8"/>
  <c r="T39" i="8" s="1"/>
  <c r="R155" i="12"/>
  <c r="Q207" i="12"/>
  <c r="S47" i="12" l="1"/>
  <c r="S48" i="12" s="1"/>
  <c r="X188" i="12"/>
  <c r="U189" i="12"/>
  <c r="U47" i="12" s="1"/>
  <c r="R207" i="12"/>
  <c r="M23" i="12"/>
  <c r="M111" i="12"/>
  <c r="G48" i="17" s="1"/>
  <c r="X189" i="12" l="1"/>
  <c r="S155" i="12"/>
  <c r="S207" i="12" s="1"/>
  <c r="U38" i="8"/>
  <c r="U39" i="8" s="1"/>
  <c r="U155" i="12"/>
  <c r="U48" i="12"/>
  <c r="M28" i="12"/>
  <c r="X48" i="12" l="1"/>
  <c r="X47" i="12"/>
  <c r="O27" i="8"/>
  <c r="O28" i="8" s="1"/>
  <c r="M31" i="12"/>
  <c r="M33" i="12" l="1"/>
  <c r="M112" i="12"/>
  <c r="G49" i="17" s="1"/>
  <c r="M136" i="12"/>
  <c r="M135" i="12"/>
  <c r="M32" i="12"/>
  <c r="Q23" i="12"/>
  <c r="I24" i="17" s="1"/>
  <c r="P23" i="12"/>
  <c r="H24" i="17" s="1"/>
  <c r="R23" i="12"/>
  <c r="J24" i="17" s="1"/>
  <c r="O23" i="12"/>
  <c r="G24" i="17" s="1"/>
  <c r="S126" i="12"/>
  <c r="O126" i="12"/>
  <c r="O18" i="15"/>
  <c r="S23" i="12"/>
  <c r="K24" i="17" s="1"/>
  <c r="M76" i="14"/>
  <c r="O76" i="14" s="1"/>
  <c r="Q126" i="12"/>
  <c r="H12" i="14"/>
  <c r="H14" i="14" s="1"/>
  <c r="R126" i="12"/>
  <c r="N18" i="15"/>
  <c r="R18" i="15"/>
  <c r="P126" i="12"/>
  <c r="Q18" i="15"/>
  <c r="P18" i="15"/>
  <c r="P19" i="15" s="1"/>
  <c r="Q132" i="12" s="1"/>
  <c r="R19" i="15" l="1"/>
  <c r="U18" i="15"/>
  <c r="N19" i="15"/>
  <c r="Q19" i="15"/>
  <c r="H131" i="14"/>
  <c r="H15" i="14"/>
  <c r="H18" i="14" s="1"/>
  <c r="H126" i="14" s="1"/>
  <c r="O19" i="15"/>
  <c r="S132" i="12" l="1"/>
  <c r="O132" i="12"/>
  <c r="R132" i="12"/>
  <c r="P132" i="12"/>
  <c r="M67" i="8"/>
  <c r="J126" i="14"/>
  <c r="P221" i="12" s="1"/>
  <c r="O221" i="12"/>
  <c r="J131" i="14"/>
  <c r="P226" i="12" s="1"/>
  <c r="M72" i="8"/>
  <c r="O226" i="12"/>
  <c r="L23" i="12" l="1"/>
  <c r="L111" i="12"/>
  <c r="F48" i="17" s="1"/>
  <c r="M126" i="12"/>
  <c r="L31" i="12" l="1"/>
  <c r="N27" i="8"/>
  <c r="N28" i="8" s="1"/>
  <c r="L28" i="12"/>
  <c r="L33" i="12" l="1"/>
  <c r="L135" i="12"/>
  <c r="M127" i="12"/>
  <c r="L32" i="12"/>
  <c r="L136" i="12"/>
  <c r="L112" i="12"/>
  <c r="F49" i="17" s="1"/>
  <c r="K111" i="12"/>
  <c r="K23" i="12"/>
  <c r="K126" i="12"/>
  <c r="L126" i="12"/>
  <c r="M27" i="8" l="1"/>
  <c r="K28" i="12"/>
  <c r="K31" i="12"/>
  <c r="K33" i="12" l="1"/>
  <c r="M28" i="8"/>
  <c r="K127" i="12"/>
  <c r="K135" i="12"/>
  <c r="K136" i="12"/>
  <c r="L127" i="12"/>
  <c r="K32" i="12"/>
  <c r="K112" i="12"/>
  <c r="C11" i="12" l="1"/>
  <c r="C19" i="19" s="1"/>
  <c r="C10" i="12"/>
  <c r="C10" i="17" s="1"/>
  <c r="C199" i="12" l="1"/>
  <c r="D72" i="17" s="1"/>
  <c r="C18" i="19"/>
  <c r="C11" i="17"/>
  <c r="K74" i="14"/>
  <c r="C41" i="12" l="1"/>
  <c r="C208" i="12" s="1"/>
  <c r="U73" i="17" s="1"/>
  <c r="C42" i="12"/>
  <c r="C24" i="8"/>
  <c r="C141" i="12" s="1"/>
  <c r="C160" i="12" l="1"/>
  <c r="C77" i="12"/>
  <c r="N11" i="17"/>
  <c r="N10" i="17"/>
  <c r="Q44" i="8" l="1"/>
  <c r="S44" i="8"/>
  <c r="R44" i="8"/>
  <c r="T44" i="8"/>
  <c r="S54" i="12"/>
  <c r="V22" i="17" s="1"/>
  <c r="V24" i="17" s="1"/>
  <c r="U44" i="8"/>
  <c r="P44" i="8"/>
  <c r="P46" i="8" s="1"/>
  <c r="S166" i="12"/>
  <c r="N166" i="12"/>
  <c r="O54" i="12"/>
  <c r="R22" i="17" s="1"/>
  <c r="R24" i="17" s="1"/>
  <c r="Q54" i="12"/>
  <c r="T22" i="17" s="1"/>
  <c r="T24" i="17" s="1"/>
  <c r="P54" i="12"/>
  <c r="S22" i="17" s="1"/>
  <c r="S24" i="17" s="1"/>
  <c r="R54" i="12"/>
  <c r="U22" i="17" s="1"/>
  <c r="U24" i="17" s="1"/>
  <c r="P166" i="12"/>
  <c r="O166" i="12"/>
  <c r="U164" i="12"/>
  <c r="Q166" i="12"/>
  <c r="N54" i="12"/>
  <c r="Q22" i="17" s="1"/>
  <c r="Q24" i="17" s="1"/>
  <c r="R166" i="12"/>
  <c r="X55" i="12"/>
  <c r="O81" i="12" l="1"/>
  <c r="N21" i="15" s="1"/>
  <c r="P81" i="12"/>
  <c r="O21" i="15" s="1"/>
  <c r="O23" i="15" s="1"/>
  <c r="O32" i="15" s="1"/>
  <c r="U54" i="12"/>
  <c r="X164" i="12" s="1"/>
  <c r="S81" i="12"/>
  <c r="R21" i="15" s="1"/>
  <c r="R23" i="15" s="1"/>
  <c r="Q81" i="12"/>
  <c r="P21" i="15" s="1"/>
  <c r="P23" i="15" s="1"/>
  <c r="P32" i="15" s="1"/>
  <c r="R81" i="12"/>
  <c r="Q21" i="15" s="1"/>
  <c r="Q23" i="15" s="1"/>
  <c r="Q32" i="15" s="1"/>
  <c r="R56" i="12"/>
  <c r="N81" i="12"/>
  <c r="Q46" i="8"/>
  <c r="S56" i="12"/>
  <c r="O56" i="12"/>
  <c r="U46" i="8"/>
  <c r="R46" i="8"/>
  <c r="P56" i="12"/>
  <c r="T46" i="8"/>
  <c r="Q56" i="12"/>
  <c r="S46" i="8"/>
  <c r="N56" i="12"/>
  <c r="N120" i="12" s="1"/>
  <c r="U166" i="12"/>
  <c r="O154" i="12" l="1"/>
  <c r="O206" i="12" s="1"/>
  <c r="R154" i="12"/>
  <c r="R206" i="12" s="1"/>
  <c r="Q154" i="12"/>
  <c r="Q206" i="12" s="1"/>
  <c r="P154" i="12"/>
  <c r="P156" i="12" s="1"/>
  <c r="S154" i="12"/>
  <c r="S167" i="12" s="1"/>
  <c r="X54" i="12"/>
  <c r="U56" i="12"/>
  <c r="U81" i="12"/>
  <c r="N154" i="12"/>
  <c r="N156" i="12" s="1"/>
  <c r="Q30" i="19"/>
  <c r="Q211" i="12"/>
  <c r="Q214" i="12" s="1"/>
  <c r="Q39" i="15"/>
  <c r="Q41" i="15" s="1"/>
  <c r="Q34" i="15"/>
  <c r="G56" i="14"/>
  <c r="G64" i="14" s="1"/>
  <c r="H128" i="14" s="1"/>
  <c r="R32" i="15"/>
  <c r="H34" i="14"/>
  <c r="H37" i="14" s="1"/>
  <c r="H127" i="14" s="1"/>
  <c r="P211" i="12"/>
  <c r="P214" i="12" s="1"/>
  <c r="P39" i="15"/>
  <c r="P41" i="15" s="1"/>
  <c r="P34" i="15"/>
  <c r="P30" i="19"/>
  <c r="O30" i="19"/>
  <c r="O211" i="12"/>
  <c r="O214" i="12" s="1"/>
  <c r="O39" i="15"/>
  <c r="O41" i="15" s="1"/>
  <c r="O34" i="15"/>
  <c r="N23" i="15"/>
  <c r="N32" i="15" s="1"/>
  <c r="U154" i="12" l="1"/>
  <c r="U156" i="12" s="1"/>
  <c r="O156" i="12"/>
  <c r="Q156" i="12"/>
  <c r="O167" i="12"/>
  <c r="R167" i="12"/>
  <c r="R156" i="12"/>
  <c r="Q167" i="12"/>
  <c r="P167" i="12"/>
  <c r="P206" i="12"/>
  <c r="S206" i="12"/>
  <c r="S156" i="12"/>
  <c r="X56" i="12"/>
  <c r="N206" i="12"/>
  <c r="N167" i="12"/>
  <c r="U23" i="15"/>
  <c r="U3" i="15" s="1"/>
  <c r="G69" i="8" s="1"/>
  <c r="O84" i="19"/>
  <c r="O29" i="19"/>
  <c r="N39" i="15"/>
  <c r="N41" i="15" s="1"/>
  <c r="M211" i="12"/>
  <c r="M214" i="12" s="1"/>
  <c r="N34" i="15"/>
  <c r="N30" i="19"/>
  <c r="N211" i="12"/>
  <c r="N214" i="12" s="1"/>
  <c r="P29" i="19"/>
  <c r="P84" i="19"/>
  <c r="R30" i="19"/>
  <c r="S85" i="19" s="1"/>
  <c r="R39" i="15"/>
  <c r="R211" i="12"/>
  <c r="R214" i="12" s="1"/>
  <c r="O222" i="12"/>
  <c r="J127" i="14"/>
  <c r="P222" i="12" s="1"/>
  <c r="M68" i="8"/>
  <c r="J128" i="14"/>
  <c r="P223" i="12" s="1"/>
  <c r="M69" i="8"/>
  <c r="O223" i="12"/>
  <c r="Q84" i="19"/>
  <c r="Q29" i="19"/>
  <c r="U167" i="12" l="1"/>
  <c r="X167" i="12" s="1"/>
  <c r="N84" i="19"/>
  <c r="N29" i="19"/>
  <c r="R84" i="19"/>
  <c r="R29" i="19"/>
  <c r="P50" i="8"/>
  <c r="N59" i="12"/>
  <c r="N60" i="12" s="1"/>
  <c r="P59" i="8"/>
  <c r="N91" i="12" s="1"/>
  <c r="U91" i="12" s="1"/>
  <c r="Q49" i="8"/>
  <c r="N26" i="12" l="1"/>
  <c r="R49" i="8"/>
  <c r="O59" i="12"/>
  <c r="Q50" i="8"/>
  <c r="N150" i="12"/>
  <c r="N27" i="12" l="1"/>
  <c r="N28" i="12" s="1"/>
  <c r="F26" i="17"/>
  <c r="N111" i="12"/>
  <c r="P25" i="8"/>
  <c r="N30" i="12"/>
  <c r="F27" i="17" s="1"/>
  <c r="F28" i="17" s="1"/>
  <c r="O26" i="12"/>
  <c r="O60" i="12"/>
  <c r="O150" i="12"/>
  <c r="P26" i="8"/>
  <c r="P59" i="12"/>
  <c r="R50" i="8"/>
  <c r="S49" i="8"/>
  <c r="N110" i="12"/>
  <c r="Q41" i="17" s="1"/>
  <c r="N31" i="12" l="1"/>
  <c r="F51" i="17"/>
  <c r="N127" i="12"/>
  <c r="N202" i="12"/>
  <c r="N112" i="12"/>
  <c r="N75" i="12"/>
  <c r="N83" i="12" s="1"/>
  <c r="F42" i="17" s="1"/>
  <c r="N32" i="12"/>
  <c r="F29" i="17" s="1"/>
  <c r="Q59" i="12"/>
  <c r="T49" i="8"/>
  <c r="S50" i="8"/>
  <c r="P60" i="12"/>
  <c r="P150" i="12"/>
  <c r="P27" i="8"/>
  <c r="O110" i="12"/>
  <c r="R41" i="17" s="1"/>
  <c r="Q25" i="8"/>
  <c r="G26" i="17"/>
  <c r="O111" i="12"/>
  <c r="H48" i="17" s="1"/>
  <c r="O27" i="12"/>
  <c r="P26" i="12"/>
  <c r="U49" i="8" l="1"/>
  <c r="R59" i="12"/>
  <c r="R26" i="12" s="1"/>
  <c r="T50" i="8"/>
  <c r="P28" i="8"/>
  <c r="Q150" i="12"/>
  <c r="Q60" i="12"/>
  <c r="N92" i="12"/>
  <c r="P110" i="12"/>
  <c r="S41" i="17" s="1"/>
  <c r="N33" i="12"/>
  <c r="P111" i="12"/>
  <c r="I48" i="17" s="1"/>
  <c r="H26" i="17"/>
  <c r="P27" i="12"/>
  <c r="R25" i="8"/>
  <c r="Q26" i="12"/>
  <c r="O30" i="12"/>
  <c r="O31" i="12" s="1"/>
  <c r="O28" i="12"/>
  <c r="O112" i="12" l="1"/>
  <c r="H49" i="17" s="1"/>
  <c r="O75" i="12"/>
  <c r="O32" i="12"/>
  <c r="G29" i="17" s="1"/>
  <c r="O202" i="12"/>
  <c r="O127" i="12"/>
  <c r="Q110" i="12"/>
  <c r="T41" i="17" s="1"/>
  <c r="R27" i="12"/>
  <c r="J26" i="17"/>
  <c r="T25" i="8"/>
  <c r="R111" i="12"/>
  <c r="K48" i="17" s="1"/>
  <c r="P28" i="12"/>
  <c r="P30" i="12"/>
  <c r="P31" i="12" s="1"/>
  <c r="U127" i="12" s="1"/>
  <c r="N93" i="12"/>
  <c r="F44" i="17" s="1"/>
  <c r="F45" i="17" s="1"/>
  <c r="R150" i="12"/>
  <c r="R60" i="12"/>
  <c r="I26" i="17"/>
  <c r="Q27" i="12"/>
  <c r="S25" i="8"/>
  <c r="Q111" i="12"/>
  <c r="J48" i="17" s="1"/>
  <c r="G27" i="17"/>
  <c r="G28" i="17" s="1"/>
  <c r="G51" i="17" s="1"/>
  <c r="Q26" i="8"/>
  <c r="U50" i="8"/>
  <c r="S59" i="12"/>
  <c r="N95" i="12" l="1"/>
  <c r="N97" i="12" s="1"/>
  <c r="U97" i="12" s="1"/>
  <c r="N41" i="12"/>
  <c r="H27" i="17"/>
  <c r="H28" i="17" s="1"/>
  <c r="H51" i="17" s="1"/>
  <c r="R26" i="8"/>
  <c r="R27" i="8" s="1"/>
  <c r="R28" i="8" s="1"/>
  <c r="R110" i="12"/>
  <c r="U41" i="17" s="1"/>
  <c r="Q27" i="8"/>
  <c r="O92" i="12"/>
  <c r="O83" i="12"/>
  <c r="P32" i="12"/>
  <c r="H29" i="17" s="1"/>
  <c r="P127" i="12"/>
  <c r="P75" i="12"/>
  <c r="P202" i="12"/>
  <c r="P112" i="12"/>
  <c r="I49" i="17" s="1"/>
  <c r="Q30" i="12"/>
  <c r="Q28" i="12"/>
  <c r="U59" i="12"/>
  <c r="X59" i="12" s="1"/>
  <c r="S150" i="12"/>
  <c r="S60" i="12"/>
  <c r="R47" i="15"/>
  <c r="S26" i="12"/>
  <c r="R28" i="12"/>
  <c r="R30" i="12"/>
  <c r="R31" i="12" s="1"/>
  <c r="N99" i="12" l="1"/>
  <c r="Q10" i="17"/>
  <c r="Q14" i="17" s="1"/>
  <c r="Q19" i="17" s="1"/>
  <c r="N208" i="12"/>
  <c r="N118" i="12"/>
  <c r="Q36" i="17" s="1"/>
  <c r="N45" i="12"/>
  <c r="P33" i="12"/>
  <c r="N119" i="12"/>
  <c r="Q37" i="17" s="1"/>
  <c r="Q38" i="17"/>
  <c r="N151" i="12"/>
  <c r="R202" i="12"/>
  <c r="R32" i="12"/>
  <c r="J29" i="17" s="1"/>
  <c r="R75" i="12"/>
  <c r="R112" i="12"/>
  <c r="K49" i="17" s="1"/>
  <c r="J27" i="17"/>
  <c r="J28" i="17" s="1"/>
  <c r="J51" i="17" s="1"/>
  <c r="T26" i="8"/>
  <c r="T27" i="8" s="1"/>
  <c r="T28" i="8" s="1"/>
  <c r="K26" i="17"/>
  <c r="S111" i="12"/>
  <c r="U25" i="8"/>
  <c r="S27" i="12"/>
  <c r="X27" i="12" s="1"/>
  <c r="U26" i="12"/>
  <c r="P92" i="12"/>
  <c r="P93" i="12" s="1"/>
  <c r="H44" i="17" s="1"/>
  <c r="P83" i="12"/>
  <c r="O93" i="12"/>
  <c r="G44" i="17" s="1"/>
  <c r="G42" i="17"/>
  <c r="I27" i="17"/>
  <c r="I28" i="17" s="1"/>
  <c r="S26" i="8"/>
  <c r="Q28" i="8"/>
  <c r="O33" i="12"/>
  <c r="P74" i="14"/>
  <c r="S110" i="12"/>
  <c r="V41" i="17" s="1"/>
  <c r="U150" i="12"/>
  <c r="U60" i="12"/>
  <c r="X60" i="12" s="1"/>
  <c r="Q31" i="12"/>
  <c r="R127" i="12" s="1"/>
  <c r="N50" i="12" l="1"/>
  <c r="N62" i="12" s="1"/>
  <c r="P52" i="8" s="1"/>
  <c r="P54" i="8" s="1"/>
  <c r="O95" i="12"/>
  <c r="O98" i="12" s="1"/>
  <c r="O41" i="12" s="1"/>
  <c r="O120" i="12" s="1"/>
  <c r="R92" i="12"/>
  <c r="R93" i="12" s="1"/>
  <c r="J44" i="17" s="1"/>
  <c r="R83" i="12"/>
  <c r="P95" i="12"/>
  <c r="H42" i="17"/>
  <c r="U27" i="12"/>
  <c r="U111" i="12"/>
  <c r="Q202" i="12"/>
  <c r="Q127" i="12"/>
  <c r="Q112" i="12"/>
  <c r="J49" i="17" s="1"/>
  <c r="Q32" i="12"/>
  <c r="I29" i="17" s="1"/>
  <c r="Q75" i="12"/>
  <c r="S27" i="8"/>
  <c r="Q33" i="12" s="1"/>
  <c r="P75" i="14"/>
  <c r="U110" i="12"/>
  <c r="I51" i="17"/>
  <c r="S30" i="12"/>
  <c r="S31" i="12" s="1"/>
  <c r="S28" i="12"/>
  <c r="Y25" i="8"/>
  <c r="G45" i="17"/>
  <c r="R33" i="12"/>
  <c r="O62" i="12" l="1"/>
  <c r="R30" i="17" s="1"/>
  <c r="R32" i="17" s="1"/>
  <c r="N129" i="12"/>
  <c r="N136" i="12"/>
  <c r="N148" i="12"/>
  <c r="N114" i="12" s="1"/>
  <c r="Q43" i="17" s="1"/>
  <c r="N128" i="12"/>
  <c r="N138" i="12"/>
  <c r="N135" i="12"/>
  <c r="N64" i="12"/>
  <c r="N65" i="12" s="1"/>
  <c r="Q30" i="17"/>
  <c r="R10" i="17"/>
  <c r="R53" i="17" s="1"/>
  <c r="O208" i="12"/>
  <c r="Q52" i="8"/>
  <c r="Q54" i="8" s="1"/>
  <c r="O148" i="12"/>
  <c r="O64" i="12"/>
  <c r="P97" i="12"/>
  <c r="P98" i="12" s="1"/>
  <c r="S112" i="12"/>
  <c r="S202" i="12"/>
  <c r="S75" i="12"/>
  <c r="S32" i="12"/>
  <c r="K29" i="17" s="1"/>
  <c r="S127" i="12"/>
  <c r="M77" i="14"/>
  <c r="R77" i="14" s="1"/>
  <c r="X31" i="12"/>
  <c r="S28" i="8"/>
  <c r="Q32" i="8"/>
  <c r="O99" i="12"/>
  <c r="O118" i="12"/>
  <c r="R36" i="17" s="1"/>
  <c r="R38" i="17"/>
  <c r="O45" i="12"/>
  <c r="O151" i="12"/>
  <c r="O119" i="12"/>
  <c r="R37" i="17" s="1"/>
  <c r="P76" i="14"/>
  <c r="U28" i="12"/>
  <c r="H45" i="17"/>
  <c r="S52" i="17" s="1"/>
  <c r="Q92" i="12"/>
  <c r="Q83" i="12"/>
  <c r="J42" i="17"/>
  <c r="R95" i="12"/>
  <c r="U26" i="8"/>
  <c r="K27" i="17"/>
  <c r="K28" i="17" s="1"/>
  <c r="K51" i="17" s="1"/>
  <c r="U30" i="12"/>
  <c r="U31" i="12" s="1"/>
  <c r="R52" i="17"/>
  <c r="O129" i="12" l="1"/>
  <c r="O136" i="12"/>
  <c r="G35" i="17" s="1"/>
  <c r="F35" i="17"/>
  <c r="Q49" i="17"/>
  <c r="F34" i="17"/>
  <c r="Q48" i="17"/>
  <c r="Q32" i="17"/>
  <c r="Q51" i="17" s="1"/>
  <c r="P62" i="12"/>
  <c r="P136" i="12" s="1"/>
  <c r="N152" i="12"/>
  <c r="N134" i="12" s="1"/>
  <c r="O50" i="12"/>
  <c r="O65" i="12" s="1"/>
  <c r="R14" i="17"/>
  <c r="O114" i="12"/>
  <c r="R43" i="17" s="1"/>
  <c r="Q93" i="12"/>
  <c r="S83" i="12"/>
  <c r="S92" i="12"/>
  <c r="S93" i="12" s="1"/>
  <c r="K44" i="17" s="1"/>
  <c r="I42" i="17"/>
  <c r="U32" i="12"/>
  <c r="U112" i="12"/>
  <c r="J45" i="17"/>
  <c r="U52" i="17" s="1"/>
  <c r="Q36" i="8"/>
  <c r="Q41" i="8" s="1"/>
  <c r="P77" i="14"/>
  <c r="P78" i="14" s="1"/>
  <c r="Q97" i="12"/>
  <c r="P41" i="12"/>
  <c r="P120" i="12" s="1"/>
  <c r="Y26" i="8"/>
  <c r="U27" i="8"/>
  <c r="U75" i="12"/>
  <c r="O152" i="12"/>
  <c r="R49" i="17" l="1"/>
  <c r="H35" i="17"/>
  <c r="S49" i="17"/>
  <c r="F33" i="17"/>
  <c r="Q47" i="17"/>
  <c r="P148" i="12"/>
  <c r="U129" i="12"/>
  <c r="S30" i="17"/>
  <c r="S32" i="17" s="1"/>
  <c r="R52" i="8"/>
  <c r="R54" i="8" s="1"/>
  <c r="P64" i="12"/>
  <c r="N203" i="12"/>
  <c r="N113" i="12"/>
  <c r="Q42" i="17" s="1"/>
  <c r="N133" i="12"/>
  <c r="F32" i="17" s="1"/>
  <c r="N157" i="12"/>
  <c r="P129" i="12"/>
  <c r="Q62" i="12"/>
  <c r="S52" i="8" s="1"/>
  <c r="R19" i="17"/>
  <c r="R51" i="17" s="1"/>
  <c r="O138" i="12"/>
  <c r="O135" i="12"/>
  <c r="O128" i="12"/>
  <c r="S10" i="17"/>
  <c r="P208" i="12"/>
  <c r="I44" i="17"/>
  <c r="I45" i="17" s="1"/>
  <c r="T52" i="17" s="1"/>
  <c r="Q95" i="12"/>
  <c r="Q98" i="12" s="1"/>
  <c r="Q41" i="12" s="1"/>
  <c r="Q120" i="12" s="1"/>
  <c r="S95" i="12"/>
  <c r="K42" i="17"/>
  <c r="X93" i="12"/>
  <c r="U92" i="12"/>
  <c r="U93" i="12" s="1"/>
  <c r="U28" i="8"/>
  <c r="Y27" i="8"/>
  <c r="S33" i="12"/>
  <c r="X33" i="12" s="1"/>
  <c r="S38" i="17"/>
  <c r="P119" i="12"/>
  <c r="S37" i="17" s="1"/>
  <c r="P118" i="12"/>
  <c r="S36" i="17" s="1"/>
  <c r="P99" i="12"/>
  <c r="R32" i="8"/>
  <c r="P45" i="12"/>
  <c r="P151" i="12"/>
  <c r="N34" i="19"/>
  <c r="O157" i="12"/>
  <c r="O134" i="12"/>
  <c r="R47" i="17" s="1"/>
  <c r="O133" i="12"/>
  <c r="O113" i="12"/>
  <c r="R42" i="17" s="1"/>
  <c r="X83" i="12"/>
  <c r="X75" i="12"/>
  <c r="U83" i="12"/>
  <c r="G34" i="17" l="1"/>
  <c r="R48" i="17"/>
  <c r="R62" i="12"/>
  <c r="U30" i="17" s="1"/>
  <c r="U32" i="17" s="1"/>
  <c r="T30" i="17"/>
  <c r="T32" i="17" s="1"/>
  <c r="P50" i="12"/>
  <c r="U128" i="12" s="1"/>
  <c r="S14" i="17"/>
  <c r="T10" i="17"/>
  <c r="Q208" i="12"/>
  <c r="R97" i="12"/>
  <c r="R98" i="12" s="1"/>
  <c r="R41" i="12" s="1"/>
  <c r="R120" i="12" s="1"/>
  <c r="X95" i="12"/>
  <c r="S54" i="8"/>
  <c r="Q148" i="12"/>
  <c r="Q64" i="12"/>
  <c r="Q129" i="12"/>
  <c r="Q136" i="12"/>
  <c r="P114" i="12"/>
  <c r="S43" i="17" s="1"/>
  <c r="P152" i="12"/>
  <c r="U95" i="12"/>
  <c r="S32" i="8"/>
  <c r="S36" i="8" s="1"/>
  <c r="S41" i="8" s="1"/>
  <c r="Q151" i="12"/>
  <c r="Q99" i="12"/>
  <c r="Q119" i="12"/>
  <c r="T37" i="17" s="1"/>
  <c r="T38" i="17"/>
  <c r="Q45" i="12"/>
  <c r="Q118" i="12"/>
  <c r="T36" i="17" s="1"/>
  <c r="R36" i="8"/>
  <c r="R41" i="8" s="1"/>
  <c r="S53" i="17"/>
  <c r="K45" i="17"/>
  <c r="V52" i="17" s="1"/>
  <c r="Y52" i="17" s="1"/>
  <c r="N35" i="19"/>
  <c r="G32" i="17"/>
  <c r="N91" i="14"/>
  <c r="P91" i="14" s="1"/>
  <c r="G33" i="17"/>
  <c r="O203" i="12"/>
  <c r="N15" i="19"/>
  <c r="I35" i="17" l="1"/>
  <c r="T49" i="17"/>
  <c r="T52" i="8"/>
  <c r="T54" i="8" s="1"/>
  <c r="S62" i="12"/>
  <c r="V30" i="17" s="1"/>
  <c r="V32" i="17" s="1"/>
  <c r="S19" i="17"/>
  <c r="S51" i="17" s="1"/>
  <c r="P135" i="12"/>
  <c r="P65" i="12"/>
  <c r="P138" i="12"/>
  <c r="P128" i="12"/>
  <c r="Q50" i="12"/>
  <c r="Q135" i="12" s="1"/>
  <c r="T14" i="17"/>
  <c r="U10" i="17"/>
  <c r="R208" i="12"/>
  <c r="S97" i="12"/>
  <c r="S98" i="12" s="1"/>
  <c r="S41" i="12" s="1"/>
  <c r="R136" i="12"/>
  <c r="R148" i="12"/>
  <c r="R129" i="12"/>
  <c r="R64" i="12"/>
  <c r="Q114" i="12"/>
  <c r="T43" i="17" s="1"/>
  <c r="Q152" i="12"/>
  <c r="Q134" i="12" s="1"/>
  <c r="T47" i="17" s="1"/>
  <c r="P157" i="12"/>
  <c r="O34" i="19"/>
  <c r="P113" i="12"/>
  <c r="S42" i="17" s="1"/>
  <c r="P133" i="12"/>
  <c r="P134" i="12"/>
  <c r="S47" i="17" s="1"/>
  <c r="R45" i="12"/>
  <c r="U38" i="17"/>
  <c r="R118" i="12"/>
  <c r="U36" i="17" s="1"/>
  <c r="R151" i="12"/>
  <c r="R99" i="12"/>
  <c r="U98" i="12"/>
  <c r="R119" i="12"/>
  <c r="U37" i="17" s="1"/>
  <c r="T32" i="8"/>
  <c r="N14" i="19"/>
  <c r="N13" i="19"/>
  <c r="N88" i="19"/>
  <c r="N12" i="19"/>
  <c r="T53" i="17"/>
  <c r="S208" i="12" l="1"/>
  <c r="S120" i="12"/>
  <c r="V38" i="17" s="1"/>
  <c r="I34" i="17"/>
  <c r="T48" i="17"/>
  <c r="H34" i="17"/>
  <c r="S48" i="17"/>
  <c r="J35" i="17"/>
  <c r="U49" i="17"/>
  <c r="U52" i="8"/>
  <c r="U54" i="8" s="1"/>
  <c r="T19" i="17"/>
  <c r="T51" i="17" s="1"/>
  <c r="Q128" i="12"/>
  <c r="Q65" i="12"/>
  <c r="Q138" i="12"/>
  <c r="R50" i="12"/>
  <c r="R138" i="12" s="1"/>
  <c r="U14" i="17"/>
  <c r="U41" i="12"/>
  <c r="V10" i="17"/>
  <c r="S45" i="12"/>
  <c r="U32" i="8"/>
  <c r="U36" i="8" s="1"/>
  <c r="U41" i="8" s="1"/>
  <c r="S119" i="12"/>
  <c r="V37" i="17" s="1"/>
  <c r="R48" i="15"/>
  <c r="S99" i="12"/>
  <c r="X99" i="12" s="1"/>
  <c r="S118" i="12"/>
  <c r="V36" i="17" s="1"/>
  <c r="S151" i="12"/>
  <c r="Q74" i="14" s="1"/>
  <c r="S148" i="12"/>
  <c r="S129" i="12"/>
  <c r="U62" i="12"/>
  <c r="S64" i="12"/>
  <c r="M78" i="14"/>
  <c r="R78" i="14" s="1"/>
  <c r="S136" i="12"/>
  <c r="R114" i="12"/>
  <c r="U43" i="17" s="1"/>
  <c r="R152" i="12"/>
  <c r="R134" i="12" s="1"/>
  <c r="U47" i="17" s="1"/>
  <c r="P34" i="19"/>
  <c r="Q157" i="12"/>
  <c r="Q113" i="12"/>
  <c r="T42" i="17" s="1"/>
  <c r="N93" i="14"/>
  <c r="P93" i="14" s="1"/>
  <c r="Q203" i="12"/>
  <c r="P15" i="19"/>
  <c r="I33" i="17"/>
  <c r="U53" i="17"/>
  <c r="H33" i="17"/>
  <c r="O15" i="19"/>
  <c r="N92" i="14"/>
  <c r="P92" i="14" s="1"/>
  <c r="P203" i="12"/>
  <c r="T36" i="8"/>
  <c r="T41" i="8" s="1"/>
  <c r="O35" i="19"/>
  <c r="H32" i="17"/>
  <c r="Q133" i="12"/>
  <c r="U151" i="12" l="1"/>
  <c r="U120" i="12"/>
  <c r="K35" i="17"/>
  <c r="V49" i="17"/>
  <c r="U19" i="17"/>
  <c r="U51" i="17" s="1"/>
  <c r="R128" i="12"/>
  <c r="R65" i="12"/>
  <c r="R135" i="12"/>
  <c r="U119" i="12"/>
  <c r="U45" i="12"/>
  <c r="U50" i="12" s="1"/>
  <c r="U138" i="12" s="1"/>
  <c r="S50" i="12"/>
  <c r="S138" i="12" s="1"/>
  <c r="V14" i="17"/>
  <c r="U99" i="12"/>
  <c r="U118" i="12"/>
  <c r="X41" i="12"/>
  <c r="V53" i="17"/>
  <c r="Y53" i="17" s="1"/>
  <c r="S152" i="12"/>
  <c r="R34" i="19" s="1"/>
  <c r="G103" i="14" s="1"/>
  <c r="G104" i="14" s="1"/>
  <c r="G106" i="14" s="1"/>
  <c r="H134" i="14" s="1"/>
  <c r="U148" i="12"/>
  <c r="U64" i="12"/>
  <c r="X64" i="12" s="1"/>
  <c r="X62" i="12"/>
  <c r="S114" i="12"/>
  <c r="V43" i="17" s="1"/>
  <c r="R133" i="12"/>
  <c r="Q35" i="19" s="1"/>
  <c r="N94" i="14"/>
  <c r="P94" i="14" s="1"/>
  <c r="Q15" i="19"/>
  <c r="R203" i="12"/>
  <c r="J33" i="17"/>
  <c r="I32" i="17"/>
  <c r="P35" i="19"/>
  <c r="O14" i="19"/>
  <c r="O13" i="19"/>
  <c r="O88" i="19"/>
  <c r="O12" i="19"/>
  <c r="R157" i="12"/>
  <c r="Q34" i="19"/>
  <c r="R113" i="12"/>
  <c r="U42" i="17" s="1"/>
  <c r="P88" i="19"/>
  <c r="P13" i="19"/>
  <c r="P14" i="19"/>
  <c r="P12" i="19"/>
  <c r="Q75" i="14"/>
  <c r="R74" i="14"/>
  <c r="U74" i="14" s="1"/>
  <c r="Y3" i="8"/>
  <c r="G67" i="8" s="1"/>
  <c r="U114" i="12" l="1"/>
  <c r="J34" i="17"/>
  <c r="U48" i="17"/>
  <c r="X45" i="12"/>
  <c r="V19" i="17"/>
  <c r="V51" i="17" s="1"/>
  <c r="Y51" i="17" s="1"/>
  <c r="Y3" i="17" s="1"/>
  <c r="G66" i="8" s="1"/>
  <c r="S135" i="12"/>
  <c r="S128" i="12"/>
  <c r="S65" i="12"/>
  <c r="S134" i="12"/>
  <c r="S133" i="12"/>
  <c r="R35" i="19" s="1"/>
  <c r="S35" i="19" s="1"/>
  <c r="S113" i="12"/>
  <c r="V42" i="17" s="1"/>
  <c r="S157" i="12"/>
  <c r="U152" i="12"/>
  <c r="U65" i="12"/>
  <c r="J32" i="17"/>
  <c r="X50" i="12"/>
  <c r="J134" i="14"/>
  <c r="P229" i="12" s="1"/>
  <c r="M75" i="8"/>
  <c r="O229" i="12"/>
  <c r="Q76" i="14"/>
  <c r="R75" i="14"/>
  <c r="U75" i="14" s="1"/>
  <c r="Q12" i="19"/>
  <c r="Q13" i="19"/>
  <c r="Q14" i="19"/>
  <c r="Q88" i="19"/>
  <c r="K34" i="17" l="1"/>
  <c r="V48" i="17"/>
  <c r="R15" i="19"/>
  <c r="R88" i="19" s="1"/>
  <c r="S87" i="19" s="1"/>
  <c r="T87" i="19" s="1"/>
  <c r="U87" i="19" s="1"/>
  <c r="V87" i="19" s="1"/>
  <c r="W87" i="19" s="1"/>
  <c r="X87" i="19" s="1"/>
  <c r="Y87" i="19" s="1"/>
  <c r="Z87" i="19" s="1"/>
  <c r="AA87" i="19" s="1"/>
  <c r="AB87" i="19" s="1"/>
  <c r="AC87" i="19" s="1"/>
  <c r="AD87" i="19" s="1"/>
  <c r="AE87" i="19" s="1"/>
  <c r="AF87" i="19" s="1"/>
  <c r="AG87" i="19" s="1"/>
  <c r="AH87" i="19" s="1"/>
  <c r="AI87" i="19" s="1"/>
  <c r="AJ87" i="19" s="1"/>
  <c r="AK87" i="19" s="1"/>
  <c r="AL87" i="19" s="1"/>
  <c r="AM87" i="19" s="1"/>
  <c r="AN87" i="19" s="1"/>
  <c r="AO87" i="19" s="1"/>
  <c r="AP87" i="19" s="1"/>
  <c r="AQ87" i="19" s="1"/>
  <c r="AR87" i="19" s="1"/>
  <c r="AS87" i="19" s="1"/>
  <c r="AT87" i="19" s="1"/>
  <c r="AU87" i="19" s="1"/>
  <c r="AV87" i="19" s="1"/>
  <c r="V47" i="17"/>
  <c r="X65" i="12"/>
  <c r="G65" i="8" s="1"/>
  <c r="K33" i="17"/>
  <c r="S203" i="12"/>
  <c r="N95" i="14"/>
  <c r="P95" i="14" s="1"/>
  <c r="K32" i="17"/>
  <c r="U113" i="12"/>
  <c r="U157" i="12"/>
  <c r="X157" i="12" s="1"/>
  <c r="Q77" i="14"/>
  <c r="R76" i="14"/>
  <c r="U76" i="14" s="1"/>
  <c r="T35" i="19"/>
  <c r="S34" i="19"/>
  <c r="R13" i="19" l="1"/>
  <c r="X3" i="12"/>
  <c r="G68" i="8" s="1"/>
  <c r="M99" i="8"/>
  <c r="I60" i="19" s="1"/>
  <c r="R14" i="19"/>
  <c r="R12" i="19"/>
  <c r="T34" i="19"/>
  <c r="T29" i="19" s="1"/>
  <c r="U35" i="19"/>
  <c r="Q78" i="14"/>
  <c r="O78" i="14" s="1"/>
  <c r="O77" i="14"/>
  <c r="S29" i="19"/>
  <c r="M98" i="8" l="1"/>
  <c r="I59" i="19" s="1"/>
  <c r="I12" i="19"/>
  <c r="S12" i="19" s="1"/>
  <c r="T12" i="19" s="1"/>
  <c r="U12" i="19" s="1"/>
  <c r="V12" i="19" s="1"/>
  <c r="W12" i="19" s="1"/>
  <c r="X12" i="19" s="1"/>
  <c r="Y12" i="19" s="1"/>
  <c r="Z12" i="19" s="1"/>
  <c r="AA12" i="19" s="1"/>
  <c r="AB12" i="19" s="1"/>
  <c r="AC12" i="19" s="1"/>
  <c r="AD12" i="19" s="1"/>
  <c r="AE12" i="19" s="1"/>
  <c r="AF12" i="19" s="1"/>
  <c r="AF14" i="19"/>
  <c r="V14" i="19"/>
  <c r="I13" i="19"/>
  <c r="W13" i="19" s="1"/>
  <c r="W15" i="19" s="1"/>
  <c r="W88" i="19" s="1"/>
  <c r="AE14" i="19"/>
  <c r="S14" i="19"/>
  <c r="U14" i="19"/>
  <c r="AC14" i="19"/>
  <c r="X14" i="19"/>
  <c r="Z14" i="19"/>
  <c r="W14" i="19"/>
  <c r="AA14" i="19"/>
  <c r="AD14" i="19"/>
  <c r="AB14" i="19"/>
  <c r="Y14" i="19"/>
  <c r="T14" i="19"/>
  <c r="H133" i="14"/>
  <c r="U78" i="14"/>
  <c r="U77" i="14"/>
  <c r="H132" i="14"/>
  <c r="U34" i="19"/>
  <c r="V35" i="19"/>
  <c r="AF13" i="19" l="1"/>
  <c r="AF15" i="19" s="1"/>
  <c r="AF88" i="19" s="1"/>
  <c r="Z13" i="19"/>
  <c r="Z15" i="19" s="1"/>
  <c r="Z88" i="19" s="1"/>
  <c r="AA13" i="19"/>
  <c r="AA15" i="19" s="1"/>
  <c r="AA88" i="19" s="1"/>
  <c r="X13" i="19"/>
  <c r="X15" i="19" s="1"/>
  <c r="X88" i="19" s="1"/>
  <c r="AC13" i="19"/>
  <c r="AC15" i="19" s="1"/>
  <c r="AC88" i="19" s="1"/>
  <c r="T13" i="19"/>
  <c r="T15" i="19" s="1"/>
  <c r="T88" i="19" s="1"/>
  <c r="S13" i="19"/>
  <c r="S15" i="19" s="1"/>
  <c r="S88" i="19" s="1"/>
  <c r="O227" i="12"/>
  <c r="J132" i="14"/>
  <c r="P227" i="12" s="1"/>
  <c r="M73" i="8"/>
  <c r="U3" i="14"/>
  <c r="G70" i="8" s="1"/>
  <c r="O228" i="12"/>
  <c r="J133" i="14"/>
  <c r="P228" i="12" s="1"/>
  <c r="M74" i="8"/>
  <c r="AB13" i="19"/>
  <c r="AB15" i="19" s="1"/>
  <c r="AB88" i="19" s="1"/>
  <c r="AE13" i="19"/>
  <c r="AE15" i="19" s="1"/>
  <c r="AE88" i="19" s="1"/>
  <c r="U29" i="19"/>
  <c r="V13" i="19"/>
  <c r="V15" i="19" s="1"/>
  <c r="V88" i="19" s="1"/>
  <c r="AD13" i="19"/>
  <c r="AD15" i="19" s="1"/>
  <c r="AD88" i="19" s="1"/>
  <c r="Y13" i="19"/>
  <c r="Y15" i="19" s="1"/>
  <c r="Y88" i="19" s="1"/>
  <c r="U13" i="19"/>
  <c r="U15" i="19" s="1"/>
  <c r="U88" i="19" s="1"/>
  <c r="V34" i="19"/>
  <c r="W35" i="19"/>
  <c r="T28" i="19" l="1"/>
  <c r="T25" i="19" s="1"/>
  <c r="S28" i="19"/>
  <c r="S25" i="19" s="1"/>
  <c r="X35" i="19"/>
  <c r="W34" i="19"/>
  <c r="W28" i="19" s="1"/>
  <c r="U28" i="19"/>
  <c r="V29" i="19"/>
  <c r="V28" i="19"/>
  <c r="W29" i="19" l="1"/>
  <c r="W30" i="19" s="1"/>
  <c r="X85" i="19" s="1"/>
  <c r="T30" i="19"/>
  <c r="S30" i="19"/>
  <c r="V25" i="19"/>
  <c r="V30" i="19"/>
  <c r="W85" i="19" s="1"/>
  <c r="U25" i="19"/>
  <c r="U30" i="19"/>
  <c r="V85" i="19" s="1"/>
  <c r="S21" i="19"/>
  <c r="S22" i="19" s="1"/>
  <c r="S27" i="19"/>
  <c r="W25" i="19"/>
  <c r="X34" i="19"/>
  <c r="X28" i="19" s="1"/>
  <c r="Y35" i="19"/>
  <c r="T21" i="19"/>
  <c r="T22" i="19" s="1"/>
  <c r="T27" i="19"/>
  <c r="S38" i="19" l="1"/>
  <c r="S40" i="19" s="1"/>
  <c r="T85" i="19"/>
  <c r="T38" i="19"/>
  <c r="T40" i="19" s="1"/>
  <c r="U85" i="19"/>
  <c r="S86" i="19"/>
  <c r="T86" i="19"/>
  <c r="X29" i="19"/>
  <c r="X30" i="19" s="1"/>
  <c r="Y85" i="19" s="1"/>
  <c r="X25" i="19"/>
  <c r="W27" i="19"/>
  <c r="W21" i="19"/>
  <c r="W22" i="19" s="1"/>
  <c r="W86" i="19"/>
  <c r="W38" i="19"/>
  <c r="U86" i="19"/>
  <c r="U38" i="19"/>
  <c r="U21" i="19"/>
  <c r="U22" i="19" s="1"/>
  <c r="U27" i="19"/>
  <c r="Z35" i="19"/>
  <c r="Y34" i="19"/>
  <c r="Y29" i="19" s="1"/>
  <c r="V86" i="19"/>
  <c r="V38" i="19"/>
  <c r="V21" i="19"/>
  <c r="V22" i="19" s="1"/>
  <c r="V27" i="19"/>
  <c r="S43" i="19" l="1"/>
  <c r="S45" i="19" s="1"/>
  <c r="T43" i="19"/>
  <c r="T45" i="19" s="1"/>
  <c r="Y28" i="19"/>
  <c r="Y25" i="19" s="1"/>
  <c r="U40" i="19"/>
  <c r="U43" i="19"/>
  <c r="U45" i="19" s="1"/>
  <c r="V40" i="19"/>
  <c r="V43" i="19"/>
  <c r="V45" i="19" s="1"/>
  <c r="W43" i="19"/>
  <c r="W45" i="19" s="1"/>
  <c r="W40" i="19"/>
  <c r="AA35" i="19"/>
  <c r="Z34" i="19"/>
  <c r="Z29" i="19" s="1"/>
  <c r="X86" i="19"/>
  <c r="X38" i="19"/>
  <c r="X27" i="19"/>
  <c r="X21" i="19"/>
  <c r="X22" i="19" s="1"/>
  <c r="Y30" i="19" l="1"/>
  <c r="Z28" i="19"/>
  <c r="Z30" i="19" s="1"/>
  <c r="AA85" i="19" s="1"/>
  <c r="X40" i="19"/>
  <c r="X43" i="19"/>
  <c r="X45" i="19" s="1"/>
  <c r="Y21" i="19"/>
  <c r="Y22" i="19" s="1"/>
  <c r="Y27" i="19"/>
  <c r="AA34" i="19"/>
  <c r="AA29" i="19" s="1"/>
  <c r="AB35" i="19"/>
  <c r="Y38" i="19" l="1"/>
  <c r="Y40" i="19" s="1"/>
  <c r="Z85" i="19"/>
  <c r="Y86" i="19"/>
  <c r="Z25" i="19"/>
  <c r="Z21" i="19" s="1"/>
  <c r="Z22" i="19" s="1"/>
  <c r="AB34" i="19"/>
  <c r="AB29" i="19" s="1"/>
  <c r="AC35" i="19"/>
  <c r="AA28" i="19"/>
  <c r="Z38" i="19"/>
  <c r="Z86" i="19"/>
  <c r="Y43" i="19" l="1"/>
  <c r="Y45" i="19" s="1"/>
  <c r="AB28" i="19"/>
  <c r="AB25" i="19" s="1"/>
  <c r="Z27" i="19"/>
  <c r="AA30" i="19"/>
  <c r="AB85" i="19" s="1"/>
  <c r="AA25" i="19"/>
  <c r="AD35" i="19"/>
  <c r="AC34" i="19"/>
  <c r="AC29" i="19" s="1"/>
  <c r="Z43" i="19"/>
  <c r="Z40" i="19"/>
  <c r="AB30" i="19" l="1"/>
  <c r="AC28" i="19"/>
  <c r="AC25" i="19" s="1"/>
  <c r="Z45" i="19"/>
  <c r="AD34" i="19"/>
  <c r="AE35" i="19"/>
  <c r="AB27" i="19"/>
  <c r="AB21" i="19"/>
  <c r="AB22" i="19" s="1"/>
  <c r="AA21" i="19"/>
  <c r="AA22" i="19" s="1"/>
  <c r="AA27" i="19"/>
  <c r="AA38" i="19"/>
  <c r="AA86" i="19"/>
  <c r="AB86" i="19" l="1"/>
  <c r="AC85" i="19"/>
  <c r="AB38" i="19"/>
  <c r="AB43" i="19" s="1"/>
  <c r="AB45" i="19" s="1"/>
  <c r="AC30" i="19"/>
  <c r="AF35" i="19"/>
  <c r="AE34" i="19"/>
  <c r="AE28" i="19" s="1"/>
  <c r="AD28" i="19"/>
  <c r="AD29" i="19"/>
  <c r="AC21" i="19"/>
  <c r="AC22" i="19" s="1"/>
  <c r="AC27" i="19"/>
  <c r="AA40" i="19"/>
  <c r="AA43" i="19"/>
  <c r="AC86" i="19" l="1"/>
  <c r="AD85" i="19"/>
  <c r="AC38" i="19"/>
  <c r="AC40" i="19" s="1"/>
  <c r="AB40" i="19"/>
  <c r="AE29" i="19"/>
  <c r="AE30" i="19" s="1"/>
  <c r="AF85" i="19" s="1"/>
  <c r="AA45" i="19"/>
  <c r="AD25" i="19"/>
  <c r="AD30" i="19"/>
  <c r="AE85" i="19" s="1"/>
  <c r="AE25" i="19"/>
  <c r="AF34" i="19"/>
  <c r="AG35" i="19"/>
  <c r="AC43" i="19" l="1"/>
  <c r="AC45" i="19" s="1"/>
  <c r="AH35" i="19"/>
  <c r="AG34" i="19"/>
  <c r="AG29" i="19" s="1"/>
  <c r="AF28" i="19"/>
  <c r="AF29" i="19"/>
  <c r="AE86" i="19"/>
  <c r="AE38" i="19"/>
  <c r="AE27" i="19"/>
  <c r="AE21" i="19"/>
  <c r="AE22" i="19" s="1"/>
  <c r="AD86" i="19"/>
  <c r="AD38" i="19"/>
  <c r="AD21" i="19"/>
  <c r="AD22" i="19" s="1"/>
  <c r="AD27" i="19"/>
  <c r="AG28" i="19" l="1"/>
  <c r="AG30" i="19" s="1"/>
  <c r="AH85" i="19" s="1"/>
  <c r="AD40" i="19"/>
  <c r="AD43" i="19"/>
  <c r="AD45" i="19" s="1"/>
  <c r="AE43" i="19"/>
  <c r="AE45" i="19" s="1"/>
  <c r="AE40" i="19"/>
  <c r="AF30" i="19"/>
  <c r="AG85" i="19" s="1"/>
  <c r="AF25" i="19"/>
  <c r="AH34" i="19"/>
  <c r="AI35" i="19"/>
  <c r="AG25" i="19" l="1"/>
  <c r="AG27" i="19" s="1"/>
  <c r="AJ35" i="19"/>
  <c r="AI34" i="19"/>
  <c r="AI29" i="19" s="1"/>
  <c r="AH29" i="19"/>
  <c r="AH28" i="19"/>
  <c r="AG39" i="19"/>
  <c r="AG44" i="19" s="1"/>
  <c r="R44" i="19" s="1"/>
  <c r="H76" i="19" s="1"/>
  <c r="AG38" i="19"/>
  <c r="AG86" i="19"/>
  <c r="AF21" i="19"/>
  <c r="AF22" i="19" s="1"/>
  <c r="AF27" i="19"/>
  <c r="AF38" i="19"/>
  <c r="AF86" i="19"/>
  <c r="AG21" i="19" l="1"/>
  <c r="AG22" i="19" s="1"/>
  <c r="AI28" i="19"/>
  <c r="AI25" i="19" s="1"/>
  <c r="AG40" i="19"/>
  <c r="AG43" i="19"/>
  <c r="AH25" i="19"/>
  <c r="AH30" i="19"/>
  <c r="AF43" i="19"/>
  <c r="AF45" i="19" s="1"/>
  <c r="AF40" i="19"/>
  <c r="AK35" i="19"/>
  <c r="AJ34" i="19"/>
  <c r="AH86" i="19" l="1"/>
  <c r="AI85" i="19"/>
  <c r="AI30" i="19"/>
  <c r="AL35" i="19"/>
  <c r="AK34" i="19"/>
  <c r="AJ28" i="19"/>
  <c r="AJ29" i="19"/>
  <c r="AI21" i="19"/>
  <c r="AI22" i="19" s="1"/>
  <c r="AI27" i="19"/>
  <c r="AH27" i="19"/>
  <c r="AH21" i="19"/>
  <c r="AH22" i="19" s="1"/>
  <c r="AG45" i="19"/>
  <c r="R43" i="19"/>
  <c r="H75" i="19" s="1"/>
  <c r="AI86" i="19" l="1"/>
  <c r="AJ85" i="19"/>
  <c r="R47" i="19"/>
  <c r="R45" i="19"/>
  <c r="AJ30" i="19"/>
  <c r="AJ25" i="19"/>
  <c r="AL34" i="19"/>
  <c r="AM35" i="19"/>
  <c r="AK28" i="19"/>
  <c r="AK29" i="19"/>
  <c r="AJ86" i="19" l="1"/>
  <c r="AK85" i="19"/>
  <c r="AK25" i="19"/>
  <c r="AK30" i="19"/>
  <c r="AN35" i="19"/>
  <c r="AM34" i="19"/>
  <c r="AM28" i="19" s="1"/>
  <c r="AL29" i="19"/>
  <c r="AL28" i="19"/>
  <c r="AJ27" i="19"/>
  <c r="AJ21" i="19"/>
  <c r="AJ22" i="19" s="1"/>
  <c r="H78" i="19"/>
  <c r="H135" i="14"/>
  <c r="AK86" i="19" l="1"/>
  <c r="AL85" i="19"/>
  <c r="AM29" i="19"/>
  <c r="AM30" i="19" s="1"/>
  <c r="AM25" i="19"/>
  <c r="M76" i="8"/>
  <c r="J135" i="14"/>
  <c r="P230" i="12" s="1"/>
  <c r="O230" i="12"/>
  <c r="H138" i="14"/>
  <c r="G113" i="14"/>
  <c r="AY78" i="19"/>
  <c r="AY3" i="19" s="1"/>
  <c r="AL30" i="19"/>
  <c r="AL25" i="19"/>
  <c r="AO35" i="19"/>
  <c r="AN34" i="19"/>
  <c r="AN28" i="19" s="1"/>
  <c r="AK21" i="19"/>
  <c r="AK22" i="19" s="1"/>
  <c r="AK27" i="19"/>
  <c r="AM86" i="19" l="1"/>
  <c r="AN85" i="19"/>
  <c r="AL86" i="19"/>
  <c r="AM85" i="19"/>
  <c r="AN29" i="19"/>
  <c r="AN30" i="19" s="1"/>
  <c r="AN25" i="19"/>
  <c r="AL27" i="19"/>
  <c r="AL21" i="19"/>
  <c r="AL22" i="19" s="1"/>
  <c r="Q221" i="12"/>
  <c r="Q225" i="12"/>
  <c r="Q226" i="12"/>
  <c r="Q223" i="12"/>
  <c r="Q229" i="12"/>
  <c r="Q224" i="12"/>
  <c r="Q230" i="12"/>
  <c r="J138" i="14"/>
  <c r="Q227" i="12"/>
  <c r="Q228" i="12"/>
  <c r="Q222" i="12"/>
  <c r="R33" i="15"/>
  <c r="AM21" i="19"/>
  <c r="AM22" i="19" s="1"/>
  <c r="AM27" i="19"/>
  <c r="AO34" i="19"/>
  <c r="AP35" i="19"/>
  <c r="AN86" i="19" l="1"/>
  <c r="AO85" i="19"/>
  <c r="AQ35" i="19"/>
  <c r="AP34" i="19"/>
  <c r="AO28" i="19"/>
  <c r="AO29" i="19"/>
  <c r="R40" i="15"/>
  <c r="R46" i="15"/>
  <c r="R34" i="15"/>
  <c r="S211" i="12"/>
  <c r="S214" i="12" s="1"/>
  <c r="AN27" i="19"/>
  <c r="AN21" i="19"/>
  <c r="AN22" i="19" s="1"/>
  <c r="R55" i="15" l="1"/>
  <c r="R96" i="17" s="1"/>
  <c r="R49" i="15"/>
  <c r="R54" i="15"/>
  <c r="R95" i="17" s="1"/>
  <c r="R56" i="15"/>
  <c r="R97" i="17" s="1"/>
  <c r="M46" i="15"/>
  <c r="R41" i="15"/>
  <c r="M48" i="15" s="1"/>
  <c r="AO30" i="19"/>
  <c r="AO25" i="19"/>
  <c r="AQ34" i="19"/>
  <c r="AR35" i="19"/>
  <c r="AP29" i="19"/>
  <c r="AP28" i="19"/>
  <c r="AO86" i="19" l="1"/>
  <c r="AP85" i="19"/>
  <c r="AS35" i="19"/>
  <c r="AR34" i="19"/>
  <c r="AQ28" i="19"/>
  <c r="AQ29" i="19"/>
  <c r="AO21" i="19"/>
  <c r="AO22" i="19" s="1"/>
  <c r="AO27" i="19"/>
  <c r="M47" i="15"/>
  <c r="M56" i="15"/>
  <c r="N50" i="15"/>
  <c r="Q88" i="17"/>
  <c r="N56" i="15"/>
  <c r="Q97" i="17" s="1"/>
  <c r="N55" i="15"/>
  <c r="Q96" i="17" s="1"/>
  <c r="M55" i="15"/>
  <c r="M51" i="15"/>
  <c r="N54" i="15"/>
  <c r="Q95" i="17" s="1"/>
  <c r="M54" i="15"/>
  <c r="N49" i="15"/>
  <c r="N46" i="15"/>
  <c r="Q86" i="17"/>
  <c r="AP30" i="19"/>
  <c r="AP25" i="19"/>
  <c r="R58" i="15"/>
  <c r="R99" i="17" s="1"/>
  <c r="R57" i="15"/>
  <c r="R98" i="17" s="1"/>
  <c r="AP86" i="19" l="1"/>
  <c r="AQ85" i="19"/>
  <c r="AP21" i="19"/>
  <c r="AP22" i="19" s="1"/>
  <c r="AP27" i="19"/>
  <c r="R86" i="17"/>
  <c r="R89" i="17"/>
  <c r="R90" i="17"/>
  <c r="N47" i="15"/>
  <c r="R87" i="17" s="1"/>
  <c r="Q87" i="17"/>
  <c r="AQ25" i="19"/>
  <c r="AQ30" i="19"/>
  <c r="N57" i="15"/>
  <c r="Q98" i="17" s="1"/>
  <c r="N58" i="15"/>
  <c r="Q99" i="17" s="1"/>
  <c r="M58" i="15"/>
  <c r="M57" i="15"/>
  <c r="N51" i="15"/>
  <c r="Q91" i="17"/>
  <c r="R91" i="17" s="1"/>
  <c r="AT35" i="19"/>
  <c r="AS34" i="19"/>
  <c r="AS29" i="19" s="1"/>
  <c r="AR29" i="19"/>
  <c r="AR28" i="19"/>
  <c r="AQ86" i="19" l="1"/>
  <c r="AR85" i="19"/>
  <c r="AT34" i="19"/>
  <c r="AT28" i="19" s="1"/>
  <c r="AU35" i="19"/>
  <c r="AR25" i="19"/>
  <c r="AR30" i="19"/>
  <c r="AQ21" i="19"/>
  <c r="AQ22" i="19" s="1"/>
  <c r="AQ27" i="19"/>
  <c r="AS28" i="19"/>
  <c r="R88" i="17"/>
  <c r="N48" i="15"/>
  <c r="AR86" i="19" l="1"/>
  <c r="AS85" i="19"/>
  <c r="AT29" i="19"/>
  <c r="AT30" i="19" s="1"/>
  <c r="AS30" i="19"/>
  <c r="AS25" i="19"/>
  <c r="AT25" i="19"/>
  <c r="AR21" i="19"/>
  <c r="AR22" i="19" s="1"/>
  <c r="AR27" i="19"/>
  <c r="AV35" i="19"/>
  <c r="AV34" i="19" s="1"/>
  <c r="AU34" i="19"/>
  <c r="AU28" i="19" s="1"/>
  <c r="AS86" i="19" l="1"/>
  <c r="AT85" i="19"/>
  <c r="AT86" i="19"/>
  <c r="AU85" i="19"/>
  <c r="AU29" i="19"/>
  <c r="AU30" i="19" s="1"/>
  <c r="AU25" i="19"/>
  <c r="AV29" i="19"/>
  <c r="AV28" i="19"/>
  <c r="AT27" i="19"/>
  <c r="AT21" i="19"/>
  <c r="AT22" i="19" s="1"/>
  <c r="AS21" i="19"/>
  <c r="AS22" i="19" s="1"/>
  <c r="AS27" i="19"/>
  <c r="AU86" i="19" l="1"/>
  <c r="AV85" i="19"/>
  <c r="AV30" i="19"/>
  <c r="AV86" i="19" s="1"/>
  <c r="AV25" i="19"/>
  <c r="AU21" i="19"/>
  <c r="AU22" i="19" s="1"/>
  <c r="AU27" i="19"/>
  <c r="AV21" i="19" l="1"/>
  <c r="AV22" i="19" s="1"/>
  <c r="AV2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Cyrill Haenni</author>
  </authors>
  <commentList>
    <comment ref="O72" authorId="0" shapeId="0" xr:uid="{CC8BA12C-F1EA-FC44-B12D-051BFAB2CDAD}">
      <text>
        <r>
          <rPr>
            <b/>
            <sz val="10"/>
            <color rgb="FF000000"/>
            <rFont val="Tahoma"/>
            <family val="2"/>
          </rPr>
          <t>Enterprise Value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<sst xmlns="http://schemas.openxmlformats.org/spreadsheetml/2006/main" count="538" uniqueCount="320">
  <si>
    <t>CAPEX</t>
  </si>
  <si>
    <t>Capital Expenditures</t>
  </si>
  <si>
    <t>Years</t>
    <phoneticPr fontId="3" type="noConversion"/>
  </si>
  <si>
    <t>%</t>
    <phoneticPr fontId="3" type="noConversion"/>
  </si>
  <si>
    <t>EBT</t>
  </si>
  <si>
    <t>USD</t>
    <phoneticPr fontId="3" type="noConversion"/>
  </si>
  <si>
    <t>EBIT</t>
  </si>
  <si>
    <t>EBITDA</t>
  </si>
  <si>
    <t>Terminal Value</t>
  </si>
  <si>
    <t>USD</t>
  </si>
  <si>
    <t>Currency</t>
    <phoneticPr fontId="0" type="noConversion"/>
  </si>
  <si>
    <t>Depreciation period</t>
  </si>
  <si>
    <t>Discounting Period</t>
  </si>
  <si>
    <t>Discount Factor</t>
  </si>
  <si>
    <t>x</t>
  </si>
  <si>
    <t>Years</t>
  </si>
  <si>
    <t>Financial Debt</t>
  </si>
  <si>
    <t>%</t>
  </si>
  <si>
    <t>EV/EBITDA</t>
  </si>
  <si>
    <t>P/B</t>
  </si>
  <si>
    <t>DCF Valuation</t>
  </si>
  <si>
    <t>Net Working Capital</t>
  </si>
  <si>
    <t>Discount Rate</t>
  </si>
  <si>
    <t>Business Plan Assumptions</t>
  </si>
  <si>
    <t>Fixed Assets</t>
  </si>
  <si>
    <t>Direct Costs</t>
  </si>
  <si>
    <t>Depreciation</t>
  </si>
  <si>
    <t>Assets</t>
  </si>
  <si>
    <t>Check</t>
  </si>
  <si>
    <t>Assumptions</t>
  </si>
  <si>
    <t>Income Taxes</t>
  </si>
  <si>
    <t>Liabilities &amp; Shareholder's Equity</t>
  </si>
  <si>
    <t>Cash Flow from Operations</t>
  </si>
  <si>
    <t>Dividend Payout Ratio</t>
  </si>
  <si>
    <t>Extraordinary Expenses</t>
  </si>
  <si>
    <t>Financial Debt/EBITDA</t>
  </si>
  <si>
    <t>Change in Net Working Capital</t>
  </si>
  <si>
    <t>Free Cash Flow to Firm</t>
  </si>
  <si>
    <t>Settings</t>
  </si>
  <si>
    <t>Days</t>
  </si>
  <si>
    <t>Model Version</t>
  </si>
  <si>
    <t>Worksheets</t>
  </si>
  <si>
    <t>General Settings</t>
  </si>
  <si>
    <t>Financial Projections</t>
  </si>
  <si>
    <t>Income Statement</t>
    <phoneticPr fontId="9" type="noConversion"/>
  </si>
  <si>
    <t>Unit</t>
    <phoneticPr fontId="8" type="noConversion"/>
  </si>
  <si>
    <t>Year</t>
  </si>
  <si>
    <t>%</t>
    <phoneticPr fontId="8" type="noConversion"/>
  </si>
  <si>
    <t>Gross Profit</t>
  </si>
  <si>
    <t>% of Revenue</t>
  </si>
  <si>
    <t>Check</t>
    <phoneticPr fontId="8" type="noConversion"/>
  </si>
  <si>
    <t>Balance Sheet</t>
    <phoneticPr fontId="9" type="noConversion"/>
  </si>
  <si>
    <t>Receivables</t>
  </si>
  <si>
    <t>Other Current Assets</t>
  </si>
  <si>
    <t>Payables</t>
  </si>
  <si>
    <t>Other Current Liabilities</t>
  </si>
  <si>
    <t>Equity</t>
  </si>
  <si>
    <t>Cash Flow Statement</t>
    <phoneticPr fontId="9" type="noConversion"/>
  </si>
  <si>
    <t>Cash Flow from Investments</t>
  </si>
  <si>
    <t>Cash Flow from Financing</t>
  </si>
  <si>
    <t>Dividends</t>
  </si>
  <si>
    <t>Change in Cash</t>
    <phoneticPr fontId="9" type="noConversion"/>
  </si>
  <si>
    <t>Cash Beginning</t>
  </si>
  <si>
    <t>Cash End</t>
  </si>
  <si>
    <t>Financial Ratios</t>
  </si>
  <si>
    <t>Bank Ratios</t>
  </si>
  <si>
    <t>x</t>
    <phoneticPr fontId="8" type="noConversion"/>
  </si>
  <si>
    <t>Interest Coverage</t>
  </si>
  <si>
    <t>Debt Service Coverage</t>
  </si>
  <si>
    <t>Equity %</t>
  </si>
  <si>
    <t>Liquidity Ratios</t>
  </si>
  <si>
    <t>Cash Ratio</t>
  </si>
  <si>
    <t>Quick Ratio</t>
  </si>
  <si>
    <t>Current Ratio</t>
  </si>
  <si>
    <t>Growth Rates</t>
  </si>
  <si>
    <t>Revenue growth</t>
    <phoneticPr fontId="8" type="noConversion"/>
  </si>
  <si>
    <t>Gross Profit Growth</t>
  </si>
  <si>
    <t xml:space="preserve">EBITDA Growth </t>
  </si>
  <si>
    <t>EBIT Growth</t>
  </si>
  <si>
    <t>Net Income Growth</t>
  </si>
  <si>
    <t>Asset Growth</t>
  </si>
  <si>
    <t>Equity Growth</t>
  </si>
  <si>
    <t>Profitability</t>
  </si>
  <si>
    <t>NOPLAT</t>
  </si>
  <si>
    <t>ROCE</t>
  </si>
  <si>
    <t>ROE</t>
  </si>
  <si>
    <t>Revenues/Assets</t>
  </si>
  <si>
    <t>Efficiency</t>
  </si>
  <si>
    <t>Cash Conversion</t>
  </si>
  <si>
    <t>Economic Balance Sheet</t>
  </si>
  <si>
    <t>./. Cash</t>
  </si>
  <si>
    <t>Invested Capital</t>
  </si>
  <si>
    <t>Capital Employed</t>
  </si>
  <si>
    <t>Enterprise Value</t>
  </si>
  <si>
    <t>Cash</t>
  </si>
  <si>
    <t>Equity Value</t>
  </si>
  <si>
    <t>EBIT</t>
    <phoneticPr fontId="8" type="noConversion"/>
  </si>
  <si>
    <t>Adjusted Tax (1-t)</t>
    <phoneticPr fontId="8" type="noConversion"/>
  </si>
  <si>
    <t>First Forecast Year</t>
  </si>
  <si>
    <t>Exit Multiple</t>
  </si>
  <si>
    <t>Inventory</t>
  </si>
  <si>
    <t>Addback Depreciation</t>
  </si>
  <si>
    <t>Implied Multiples</t>
  </si>
  <si>
    <t>EV/Revenue</t>
  </si>
  <si>
    <t>Checks</t>
  </si>
  <si>
    <t>Executive Summary</t>
  </si>
  <si>
    <t xml:space="preserve">         </t>
  </si>
  <si>
    <t>Terminal Value Model</t>
  </si>
  <si>
    <t>ROIC</t>
  </si>
  <si>
    <t>Instructions</t>
  </si>
  <si>
    <t>Cell Colors</t>
  </si>
  <si>
    <t>How to Work with this Model</t>
  </si>
  <si>
    <t>Assumption</t>
  </si>
  <si>
    <t>Cells which contain the assumptions. Are not linked to any other cells.</t>
  </si>
  <si>
    <t>Linked Assumption</t>
  </si>
  <si>
    <t>Cells which also contain assumptions but are linked to other assumption. Can either be left "as is" or overwritten if needed.</t>
  </si>
  <si>
    <t>Link and calculations</t>
  </si>
  <si>
    <t>Cells which contain links or calculations. Should not be changed unless you want to change the logic of the model</t>
  </si>
  <si>
    <t>Linked to cells in other sheets</t>
  </si>
  <si>
    <t>Cells which contains links from cells from other sheets</t>
  </si>
  <si>
    <t>Terms &amp; Abbreviations</t>
  </si>
  <si>
    <t>Earnings before Interest and Tax</t>
  </si>
  <si>
    <t>Earnings before Interest, Tax, Depreciation and Amoritization</t>
  </si>
  <si>
    <t>Earnings before Tax</t>
  </si>
  <si>
    <t>Enterprise Value/Revenue</t>
  </si>
  <si>
    <t>Enterprise Value/EBITDA</t>
  </si>
  <si>
    <t xml:space="preserve">P/E </t>
  </si>
  <si>
    <t>Price to Earnings</t>
  </si>
  <si>
    <t xml:space="preserve">Price per Book </t>
  </si>
  <si>
    <t>FCF</t>
  </si>
  <si>
    <t>Free Cash Flow</t>
  </si>
  <si>
    <t>Net Operating Profit less Adjusted Taxes</t>
  </si>
  <si>
    <t>OPEX</t>
  </si>
  <si>
    <t>Operating Expenses</t>
  </si>
  <si>
    <t>United States Dollar</t>
  </si>
  <si>
    <t>Check BS</t>
  </si>
  <si>
    <t>Check CF</t>
  </si>
  <si>
    <t>Check Cash</t>
  </si>
  <si>
    <t>Interest Expense</t>
  </si>
  <si>
    <t>Model Checks</t>
  </si>
  <si>
    <t>Financials</t>
  </si>
  <si>
    <t>DCF</t>
  </si>
  <si>
    <t>Discounted Cash Flows</t>
  </si>
  <si>
    <t>Discounted Cash Flow</t>
  </si>
  <si>
    <t>Enterprise Value/EBIT</t>
  </si>
  <si>
    <t>Y</t>
  </si>
  <si>
    <t>PV of Forecast Period</t>
  </si>
  <si>
    <t>Growth Rate</t>
  </si>
  <si>
    <t>PV</t>
  </si>
  <si>
    <t>Present Value</t>
  </si>
  <si>
    <t>Terminal Value Models</t>
  </si>
  <si>
    <t>Capitalized Earnings</t>
  </si>
  <si>
    <t>Gordon Growth</t>
  </si>
  <si>
    <t>Mid-Year</t>
  </si>
  <si>
    <t>End of Year</t>
  </si>
  <si>
    <t>Discounting Method</t>
  </si>
  <si>
    <t>Two Stage Value Driver</t>
  </si>
  <si>
    <t>Capitalization of EBIT less Taxes at the Company's Discount Rate</t>
  </si>
  <si>
    <t>Explanation</t>
  </si>
  <si>
    <t>Tax Rate</t>
  </si>
  <si>
    <t>g</t>
  </si>
  <si>
    <t>WACC</t>
  </si>
  <si>
    <t>Duration of Competitive Advantage</t>
  </si>
  <si>
    <t>Exit Valuation Method</t>
  </si>
  <si>
    <t>Capitalization Rate</t>
  </si>
  <si>
    <t>Low Growth</t>
  </si>
  <si>
    <t>High Growth</t>
  </si>
  <si>
    <t>Period of High Growth</t>
  </si>
  <si>
    <t>Start High Growth</t>
  </si>
  <si>
    <t>Start Low Growth</t>
  </si>
  <si>
    <t>Capitalized Free Cash Cash Flows which are assumed to grow forever</t>
  </si>
  <si>
    <t>H-Model</t>
  </si>
  <si>
    <t>Determines the Terminal Value based on an Exit Multiple</t>
  </si>
  <si>
    <t>TV</t>
  </si>
  <si>
    <t>Free Cash Flows</t>
  </si>
  <si>
    <t>H</t>
  </si>
  <si>
    <t>Period of High Growth divided in half</t>
  </si>
  <si>
    <t>gH</t>
  </si>
  <si>
    <t>gL</t>
  </si>
  <si>
    <t>Long-term Growth Rate</t>
  </si>
  <si>
    <t>Growth rate during high growth period</t>
  </si>
  <si>
    <t>Weighted Average Cost of Capital (Discount Rate)</t>
  </si>
  <si>
    <t>Excess Return</t>
  </si>
  <si>
    <t>ROCE vs. WACC</t>
  </si>
  <si>
    <t>Steady Decline</t>
  </si>
  <si>
    <t>Exponential Decline</t>
  </si>
  <si>
    <t>Financial Forecast</t>
  </si>
  <si>
    <t>ROA</t>
  </si>
  <si>
    <t>Net Investment</t>
  </si>
  <si>
    <t>Terminal Value (TV)</t>
  </si>
  <si>
    <t>Selected Terminal Value Model</t>
  </si>
  <si>
    <t>Overview  - Terminal Value Results</t>
  </si>
  <si>
    <t>EV</t>
  </si>
  <si>
    <t>t</t>
  </si>
  <si>
    <t>Weighted Average Cost of Capital</t>
  </si>
  <si>
    <t>Half-length of the High Growth Period</t>
  </si>
  <si>
    <t>Terminal Value Year</t>
  </si>
  <si>
    <t>Growth Rate - High Growth Period</t>
  </si>
  <si>
    <t>Growth Rate - Long-Term</t>
  </si>
  <si>
    <t>Fixed Asset Schedule</t>
  </si>
  <si>
    <t>Pro Forma Taxes</t>
  </si>
  <si>
    <t>FCF Competitive Advantage Period</t>
  </si>
  <si>
    <t>TV end of Competitive Advantage Period</t>
  </si>
  <si>
    <t>Terminal Value Calculation</t>
  </si>
  <si>
    <t>FCF Including TV</t>
  </si>
  <si>
    <t>We Model Excess Return into the Future</t>
  </si>
  <si>
    <t>Chart Data</t>
  </si>
  <si>
    <t>FCF Gordon Growth</t>
  </si>
  <si>
    <t>FCF Forecast Period</t>
  </si>
  <si>
    <t>Annual Decline:</t>
  </si>
  <si>
    <t>Curve: (X-X1)² = Y</t>
  </si>
  <si>
    <t>Stage I</t>
  </si>
  <si>
    <t>Stage II</t>
  </si>
  <si>
    <t>Stages</t>
  </si>
  <si>
    <t>NA</t>
  </si>
  <si>
    <t>Spread to Discount Rate</t>
  </si>
  <si>
    <t>Decline Jump at End</t>
  </si>
  <si>
    <t>Start</t>
  </si>
  <si>
    <t xml:space="preserve">End </t>
  </si>
  <si>
    <t>Infinite</t>
  </si>
  <si>
    <t>DCF Valuation Assumptions</t>
  </si>
  <si>
    <t>Selectors</t>
  </si>
  <si>
    <t>Models Terminal Value as a Function of ROCE and Growth in Two Stages</t>
  </si>
  <si>
    <t>PV of TV</t>
  </si>
  <si>
    <t>Year 0</t>
  </si>
  <si>
    <t>Debt</t>
  </si>
  <si>
    <t>Balance Sheet</t>
  </si>
  <si>
    <t>ROCE Stage I</t>
  </si>
  <si>
    <t>Terminal Value Assumptions by Model</t>
  </si>
  <si>
    <t>Label</t>
  </si>
  <si>
    <t>Calculations</t>
  </si>
  <si>
    <t>Stage</t>
  </si>
  <si>
    <t>Graph Selector</t>
  </si>
  <si>
    <t>Two Stage Value Driver Model</t>
  </si>
  <si>
    <t>Discount Rate (WACC)</t>
  </si>
  <si>
    <t>Value</t>
  </si>
  <si>
    <t>Total Value</t>
  </si>
  <si>
    <t>Value Drivers</t>
  </si>
  <si>
    <t>Timeline</t>
  </si>
  <si>
    <t>TV - Equity Value</t>
  </si>
  <si>
    <t>Exit Multiples</t>
  </si>
  <si>
    <t>One Stage Value Driver</t>
  </si>
  <si>
    <t>Factor (Y5)</t>
  </si>
  <si>
    <t>Profitability &amp; Efficiency</t>
  </si>
  <si>
    <t>Financial Summary</t>
  </si>
  <si>
    <t>DCF Valuation Summary</t>
  </si>
  <si>
    <t>Revenues and Profits</t>
  </si>
  <si>
    <t>Free Cash Flow Forecst</t>
  </si>
  <si>
    <t>DCF Valuation Result</t>
  </si>
  <si>
    <t>TV Year 5</t>
  </si>
  <si>
    <t>Terminal Value Y5</t>
  </si>
  <si>
    <t>Selected TV Model</t>
  </si>
  <si>
    <t>Year 5</t>
  </si>
  <si>
    <t>PV of Terminal Value</t>
  </si>
  <si>
    <t>Composition of Enterprise Value</t>
  </si>
  <si>
    <t>Weight</t>
    <phoneticPr fontId="1" type="noConversion"/>
  </si>
  <si>
    <t>Cost of Equity</t>
    <phoneticPr fontId="1" type="noConversion"/>
  </si>
  <si>
    <t>Cost of Debt</t>
    <phoneticPr fontId="1" type="noConversion"/>
  </si>
  <si>
    <t>Risk free interest rate 2)</t>
  </si>
  <si>
    <t>Debt</t>
    <phoneticPr fontId="1" type="noConversion"/>
  </si>
  <si>
    <t>Total</t>
    <phoneticPr fontId="1" type="noConversion"/>
  </si>
  <si>
    <t>Beta (unlevered) 3)</t>
  </si>
  <si>
    <t>Beta (levered) 4)</t>
  </si>
  <si>
    <t>Market Risk Premium USA 5)</t>
  </si>
  <si>
    <t>Risk free interest rate</t>
    <phoneticPr fontId="1" type="noConversion"/>
  </si>
  <si>
    <t>Debt risk premium 8)</t>
  </si>
  <si>
    <t>Equity Risk Premium</t>
    <phoneticPr fontId="1" type="noConversion"/>
  </si>
  <si>
    <t>Pre-tax cost of debt</t>
    <phoneticPr fontId="1" type="noConversion"/>
  </si>
  <si>
    <t>Tax rate</t>
    <phoneticPr fontId="1" type="noConversion"/>
  </si>
  <si>
    <t>Cost of Debt (after tax)</t>
    <phoneticPr fontId="1" type="noConversion"/>
  </si>
  <si>
    <t>Other Risk Premium</t>
  </si>
  <si>
    <t>Discount Rate Estimation - Weighted Average Cost of Capital</t>
  </si>
  <si>
    <t>2 Stage Growth Modell (Period of High and Low Growth)</t>
  </si>
  <si>
    <t>Links</t>
  </si>
  <si>
    <t xml:space="preserve"> </t>
  </si>
  <si>
    <t>./. Financial Debt</t>
  </si>
  <si>
    <t>ROIC Curve</t>
  </si>
  <si>
    <t>Revenue/Invested Capital</t>
  </si>
  <si>
    <t>Revenue</t>
  </si>
  <si>
    <t>Return on Invested Capital</t>
  </si>
  <si>
    <t>ROIC vs. WACC</t>
  </si>
  <si>
    <t>Sources of funding made by shareholders and debt financing</t>
  </si>
  <si>
    <t>Current Assets</t>
  </si>
  <si>
    <t>Short-Term Provisions</t>
  </si>
  <si>
    <t>Short-term Liabilities</t>
  </si>
  <si>
    <t>Long-Term Provisions</t>
  </si>
  <si>
    <t>Long-term Liabilities</t>
  </si>
  <si>
    <t>Shareholder's Equity</t>
  </si>
  <si>
    <t>Net Income/Loss</t>
  </si>
  <si>
    <t>Valuation Model</t>
  </si>
  <si>
    <t>Project</t>
  </si>
  <si>
    <t>Days per Year</t>
  </si>
  <si>
    <t>Financial Debt/Equity</t>
  </si>
  <si>
    <t>Interest Rate</t>
  </si>
  <si>
    <t>Income Tax Rate</t>
  </si>
  <si>
    <t>Other Assumptions</t>
  </si>
  <si>
    <t>% of Net Income</t>
  </si>
  <si>
    <t>EPS</t>
  </si>
  <si>
    <t>Earnings Per Share</t>
  </si>
  <si>
    <t>Return on assets</t>
  </si>
  <si>
    <t>Return on capital employed</t>
  </si>
  <si>
    <t>Return on invested capital</t>
  </si>
  <si>
    <t>Unlev. FCFF</t>
  </si>
  <si>
    <t>Unlevered Free Cash Flow to Firm</t>
  </si>
  <si>
    <t>&gt; NOPLAT = =EBIT × (1 - Tax Rate)</t>
  </si>
  <si>
    <t>&gt; NOPLAT shows how much profit a company makes from its operations after paying taxes, but before financing costs (like interest).</t>
  </si>
  <si>
    <t>&gt; It focuses only on the core business performance, ignoring debt/equity structure.</t>
  </si>
  <si>
    <t>&gt; Adjusted ROA measures how efficiently a company uses its total assets to generate operating profit before taxes.</t>
  </si>
  <si>
    <t>&gt; By removing the impact of income taxes, this metric provides a clearer view of core asset performance,</t>
  </si>
  <si>
    <t>and is especially useful for cross-company or cross-border comparisons.</t>
  </si>
  <si>
    <t>= EBIT / Capital Employed</t>
  </si>
  <si>
    <t>&gt; ROCE measures how efficiently a company uses all its capital to generate profit.</t>
  </si>
  <si>
    <t>&gt; It's useful for comparing profitability across companies regardless of debt/equity levels.</t>
  </si>
  <si>
    <t>= NOPAT / Invested Capital</t>
  </si>
  <si>
    <t>&gt; ROIC shows how well a company turns capital (from both debt and equity) into profit.</t>
  </si>
  <si>
    <t>&gt; It's similar to ROCE, but focuses more on core operating assets.</t>
  </si>
  <si>
    <t>M-TERMINAL</t>
  </si>
  <si>
    <t>Institutional Equity Research · Modeling Lab</t>
  </si>
  <si>
    <t xml:space="preserve">DCF Valuation Model 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</si>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</sst>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 * #,##0.00_ ;_ * \-#,##0.00_ ;_ * &quot;-&quot;??_ ;_ @_ "/>
    <numFmt numFmtId="165" formatCode="0.0%"/>
    <numFmt numFmtId="166" formatCode="_(* #,##0_);_(* \(#,##0\);_(* &quot;-&quot;??_);_(@_)"/>
    <numFmt numFmtId="167" formatCode="0000\ \F"/>
    <numFmt numFmtId="168" formatCode="0000\ \A"/>
    <numFmt numFmtId="169" formatCode="0.0\x"/>
    <numFmt numFmtId="170" formatCode="&quot;Year &quot;#,##0"/>
    <numFmt numFmtId="171" formatCode="0.00\x"/>
    <numFmt numFmtId="172" formatCode="[$-409]d\-mmm\-yy;@"/>
    <numFmt numFmtId="173" formatCode="_-* #,##0.00_-;\-* #,##0.00_-;_-* &quot;-&quot;??_-;_-@_-"/>
    <numFmt numFmtId="174" formatCode="0.0"/>
    <numFmt numFmtId="175" formatCode="&quot;Year &quot;0"/>
    <numFmt numFmtId="176" formatCode="&quot;TV Year &quot;#,##0"/>
    <numFmt numFmtId="177" formatCode="0\ &quot;Years&quot;"/>
    <numFmt numFmtId="178" formatCode="_(* #,##0.0_);_(* \(#,##0.0\);_(* &quot;-&quot;??_);_(@_)"/>
    <numFmt numFmtId="179" formatCode="[$-409]dd\-mmm\-yy;@"/>
  </numFmts>
  <fonts count="82" x14ac:knownFonts="1">
    <font>
      <sz val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sz val="8"/>
      <name val="Verdan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0"/>
      <color theme="11"/>
      <name val="Verdana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b/>
      <sz val="36"/>
      <color indexed="9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</font>
    <font>
      <sz val="10"/>
      <color rgb="FF268C7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i/>
      <u/>
      <sz val="10"/>
      <color rgb="FF0432FF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2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rgb="FF004DD6"/>
      <name val="Calibri"/>
      <family val="2"/>
      <scheme val="minor"/>
    </font>
    <font>
      <b/>
      <sz val="10"/>
      <color rgb="FF268C7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4DD6"/>
      <name val="Calibri"/>
      <family val="2"/>
      <scheme val="minor"/>
    </font>
    <font>
      <i/>
      <u/>
      <sz val="10"/>
      <color indexed="12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432FF"/>
      <name val="Calibri"/>
      <family val="2"/>
      <scheme val="minor"/>
    </font>
    <font>
      <sz val="10"/>
      <color rgb="FF258A6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005A63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008F6E"/>
      <name val="Calibri"/>
      <family val="2"/>
      <scheme val="minor"/>
    </font>
    <font>
      <b/>
      <i/>
      <sz val="10"/>
      <color rgb="FF258A6E"/>
      <name val="Calibri"/>
      <family val="2"/>
      <scheme val="minor"/>
    </font>
    <font>
      <b/>
      <sz val="10"/>
      <color rgb="FF258A6E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i/>
      <sz val="10"/>
      <color theme="0" tint="-0.34998626667073579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i/>
      <sz val="10"/>
      <color rgb="FF268C70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color rgb="FF004DD6"/>
      <name val="Calibri"/>
      <family val="2"/>
      <scheme val="minor"/>
    </font>
    <font>
      <b/>
      <sz val="2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2"/>
      <color indexed="9"/>
      <name val="Calibri"/>
      <family val="2"/>
      <scheme val="minor"/>
    </font>
    <font>
      <u/>
      <sz val="10"/>
      <color rgb="FF004DD6"/>
      <name val="Calibri"/>
      <family val="2"/>
      <scheme val="minor"/>
    </font>
    <font>
      <i/>
      <u/>
      <sz val="10"/>
      <color rgb="FF004DD6"/>
      <name val="Calibri"/>
      <family val="2"/>
      <scheme val="minor"/>
    </font>
    <font>
      <b/>
      <sz val="10"/>
      <color theme="0"/>
      <name val="Calibri"/>
      <family val="2"/>
    </font>
    <font>
      <i/>
      <sz val="10"/>
      <name val="Calibri"/>
      <family val="2"/>
    </font>
    <font>
      <sz val="10"/>
      <color rgb="FF0432FF"/>
      <name val="Calibri"/>
      <family val="2"/>
    </font>
    <font>
      <b/>
      <sz val="10"/>
      <color indexed="9"/>
      <name val="Calibri"/>
      <family val="2"/>
    </font>
    <font>
      <i/>
      <sz val="10"/>
      <color rgb="FF00B0F0"/>
      <name val="Calibri"/>
      <family val="2"/>
      <scheme val="minor"/>
    </font>
    <font>
      <sz val="10"/>
      <color rgb="FF0000FF"/>
      <name val="Calibri"/>
      <family val="2"/>
    </font>
    <font>
      <b/>
      <sz val="26"/>
      <color theme="1"/>
      <name val="Calibri"/>
      <family val="2"/>
    </font>
    <font>
      <i/>
      <sz val="10"/>
      <color theme="0" tint="-0.499984740745262"/>
      <name val="Calibri"/>
      <family val="2"/>
    </font>
    <font>
      <b/>
      <i/>
      <sz val="10"/>
      <color theme="0"/>
      <name val="Calibri"/>
      <family val="2"/>
      <scheme val="minor"/>
    </font>
    <font>
      <sz val="10"/>
      <color indexed="8"/>
      <name val="Calibri"/>
      <family val="2"/>
    </font>
    <font>
      <b/>
      <sz val="16"/>
      <name val="Arial"/>
      <family val="2"/>
    </font>
    <font>
      <i/>
      <sz val="1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AAE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AD65"/>
        <bgColor indexed="64"/>
      </patternFill>
    </fill>
    <fill>
      <patternFill patternType="solid">
        <fgColor rgb="FFA6CE3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B77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68C7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008F6E"/>
        <bgColor indexed="64"/>
      </patternFill>
    </fill>
    <fill>
      <patternFill patternType="solid">
        <fgColor rgb="FF45BA78"/>
        <bgColor indexed="64"/>
      </patternFill>
    </fill>
    <fill>
      <patternFill patternType="solid">
        <fgColor rgb="FFA5CF37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29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12" fillId="0" borderId="0" applyNumberFormat="0" applyFill="0" applyBorder="0" applyAlignment="0" applyProtection="0"/>
    <xf numFmtId="173" fontId="14" fillId="0" borderId="0" applyFont="0" applyFill="0" applyBorder="0" applyAlignment="0" applyProtection="0"/>
    <xf numFmtId="0" fontId="11" fillId="0" borderId="0"/>
  </cellStyleXfs>
  <cellXfs count="891">
    <xf numFmtId="0" fontId="0" fillId="0" borderId="0" xfId="0"/>
    <xf numFmtId="166" fontId="13" fillId="0" borderId="0" xfId="1" applyNumberFormat="1" applyFont="1" applyBorder="1" applyAlignment="1">
      <alignment vertical="center"/>
    </xf>
    <xf numFmtId="166" fontId="13" fillId="5" borderId="0" xfId="1" applyNumberFormat="1" applyFont="1" applyFill="1" applyBorder="1" applyAlignment="1">
      <alignment vertical="center"/>
    </xf>
    <xf numFmtId="166" fontId="11" fillId="5" borderId="0" xfId="1" applyNumberFormat="1" applyFont="1" applyFill="1" applyBorder="1" applyAlignment="1">
      <alignment vertical="center"/>
    </xf>
    <xf numFmtId="166" fontId="10" fillId="5" borderId="3" xfId="1" applyNumberFormat="1" applyFont="1" applyFill="1" applyBorder="1" applyAlignment="1">
      <alignment vertical="center"/>
    </xf>
    <xf numFmtId="166" fontId="10" fillId="5" borderId="9" xfId="1" applyNumberFormat="1" applyFont="1" applyFill="1" applyBorder="1" applyAlignment="1">
      <alignment vertical="center"/>
    </xf>
    <xf numFmtId="166" fontId="10" fillId="0" borderId="6" xfId="1" applyNumberFormat="1" applyFont="1" applyFill="1" applyBorder="1" applyAlignment="1">
      <alignment vertical="center"/>
    </xf>
    <xf numFmtId="165" fontId="13" fillId="5" borderId="0" xfId="2" applyNumberFormat="1" applyFont="1" applyFill="1" applyBorder="1" applyAlignment="1">
      <alignment vertical="center"/>
    </xf>
    <xf numFmtId="166" fontId="10" fillId="0" borderId="3" xfId="1" applyNumberFormat="1" applyFont="1" applyBorder="1" applyAlignment="1">
      <alignment vertical="center"/>
    </xf>
    <xf numFmtId="0" fontId="11" fillId="0" borderId="0" xfId="26" applyFont="1" applyAlignment="1">
      <alignment vertical="center"/>
    </xf>
    <xf numFmtId="0" fontId="11" fillId="0" borderId="0" xfId="26" applyFont="1" applyAlignment="1">
      <alignment horizontal="left" vertical="center"/>
    </xf>
    <xf numFmtId="0" fontId="11" fillId="0" borderId="0" xfId="26" applyFont="1" applyAlignment="1">
      <alignment horizontal="right" vertical="center"/>
    </xf>
    <xf numFmtId="0" fontId="15" fillId="0" borderId="0" xfId="26" applyFont="1" applyAlignment="1">
      <alignment vertical="center"/>
    </xf>
    <xf numFmtId="0" fontId="16" fillId="0" borderId="0" xfId="26" applyFont="1" applyAlignment="1">
      <alignment vertical="center"/>
    </xf>
    <xf numFmtId="14" fontId="11" fillId="0" borderId="0" xfId="26" applyNumberFormat="1" applyFont="1" applyAlignment="1">
      <alignment horizontal="right" vertical="center"/>
    </xf>
    <xf numFmtId="0" fontId="17" fillId="0" borderId="0" xfId="26" applyFont="1" applyAlignment="1">
      <alignment horizontal="right" vertical="center"/>
    </xf>
    <xf numFmtId="3" fontId="17" fillId="0" borderId="4" xfId="26" applyNumberFormat="1" applyFont="1" applyBorder="1" applyAlignment="1">
      <alignment vertical="center"/>
    </xf>
    <xf numFmtId="0" fontId="19" fillId="0" borderId="0" xfId="26" applyFont="1" applyAlignment="1">
      <alignment horizontal="left" vertical="center"/>
    </xf>
    <xf numFmtId="0" fontId="19" fillId="0" borderId="0" xfId="26" applyFont="1" applyAlignment="1">
      <alignment vertical="center"/>
    </xf>
    <xf numFmtId="0" fontId="11" fillId="5" borderId="0" xfId="26" applyFont="1" applyFill="1" applyAlignment="1">
      <alignment vertical="center"/>
    </xf>
    <xf numFmtId="0" fontId="21" fillId="0" borderId="0" xfId="26" applyFont="1" applyAlignment="1">
      <alignment horizontal="left" vertical="center"/>
    </xf>
    <xf numFmtId="0" fontId="22" fillId="0" borderId="0" xfId="26" applyFont="1" applyAlignment="1">
      <alignment vertical="center"/>
    </xf>
    <xf numFmtId="0" fontId="23" fillId="7" borderId="0" xfId="26" applyFont="1" applyFill="1" applyAlignment="1">
      <alignment horizontal="center" vertical="center"/>
    </xf>
    <xf numFmtId="0" fontId="23" fillId="6" borderId="5" xfId="26" applyFont="1" applyFill="1" applyBorder="1" applyAlignment="1">
      <alignment horizontal="center" vertical="center"/>
    </xf>
    <xf numFmtId="0" fontId="24" fillId="6" borderId="0" xfId="26" applyFont="1" applyFill="1" applyAlignment="1">
      <alignment horizontal="left" vertical="center"/>
    </xf>
    <xf numFmtId="0" fontId="25" fillId="6" borderId="0" xfId="26" applyFont="1" applyFill="1" applyAlignment="1">
      <alignment vertical="center"/>
    </xf>
    <xf numFmtId="0" fontId="25" fillId="6" borderId="5" xfId="26" applyFont="1" applyFill="1" applyBorder="1" applyAlignment="1">
      <alignment vertical="center"/>
    </xf>
    <xf numFmtId="0" fontId="24" fillId="6" borderId="0" xfId="26" applyFont="1" applyFill="1" applyAlignment="1">
      <alignment vertical="center"/>
    </xf>
    <xf numFmtId="0" fontId="24" fillId="6" borderId="0" xfId="26" applyFont="1" applyFill="1" applyAlignment="1">
      <alignment horizontal="right" vertical="center"/>
    </xf>
    <xf numFmtId="0" fontId="24" fillId="6" borderId="6" xfId="26" applyFont="1" applyFill="1" applyBorder="1" applyAlignment="1">
      <alignment horizontal="right" vertical="center"/>
    </xf>
    <xf numFmtId="0" fontId="11" fillId="5" borderId="5" xfId="26" applyFont="1" applyFill="1" applyBorder="1" applyAlignment="1">
      <alignment vertical="center"/>
    </xf>
    <xf numFmtId="0" fontId="11" fillId="5" borderId="6" xfId="26" applyFont="1" applyFill="1" applyBorder="1" applyAlignment="1">
      <alignment vertical="center"/>
    </xf>
    <xf numFmtId="0" fontId="15" fillId="5" borderId="0" xfId="26" applyFont="1" applyFill="1" applyAlignment="1">
      <alignment vertical="center"/>
    </xf>
    <xf numFmtId="0" fontId="11" fillId="0" borderId="5" xfId="26" applyFont="1" applyBorder="1" applyAlignment="1">
      <alignment vertical="center"/>
    </xf>
    <xf numFmtId="0" fontId="11" fillId="0" borderId="6" xfId="26" applyFont="1" applyBorder="1" applyAlignment="1">
      <alignment vertical="center"/>
    </xf>
    <xf numFmtId="0" fontId="10" fillId="5" borderId="0" xfId="26" applyFont="1" applyFill="1" applyAlignment="1">
      <alignment horizontal="right" vertical="center"/>
    </xf>
    <xf numFmtId="0" fontId="11" fillId="0" borderId="1" xfId="26" applyFont="1" applyBorder="1" applyAlignment="1">
      <alignment vertical="center"/>
    </xf>
    <xf numFmtId="0" fontId="11" fillId="6" borderId="5" xfId="26" applyFont="1" applyFill="1" applyBorder="1" applyAlignment="1">
      <alignment vertical="center"/>
    </xf>
    <xf numFmtId="166" fontId="11" fillId="0" borderId="0" xfId="1" applyNumberFormat="1" applyFont="1" applyAlignment="1">
      <alignment vertical="center"/>
    </xf>
    <xf numFmtId="2" fontId="10" fillId="5" borderId="0" xfId="26" applyNumberFormat="1" applyFont="1" applyFill="1" applyAlignment="1">
      <alignment horizontal="left" vertical="center"/>
    </xf>
    <xf numFmtId="0" fontId="23" fillId="6" borderId="0" xfId="26" applyFont="1" applyFill="1" applyAlignment="1">
      <alignment horizontal="left" vertical="center"/>
    </xf>
    <xf numFmtId="0" fontId="10" fillId="0" borderId="0" xfId="26" applyFont="1" applyAlignment="1">
      <alignment vertical="center"/>
    </xf>
    <xf numFmtId="3" fontId="11" fillId="0" borderId="0" xfId="26" applyNumberFormat="1" applyFont="1" applyAlignment="1">
      <alignment vertical="center"/>
    </xf>
    <xf numFmtId="0" fontId="11" fillId="6" borderId="0" xfId="26" applyFont="1" applyFill="1" applyAlignment="1">
      <alignment vertical="center"/>
    </xf>
    <xf numFmtId="166" fontId="10" fillId="0" borderId="9" xfId="1" applyNumberFormat="1" applyFont="1" applyBorder="1" applyAlignment="1">
      <alignment vertical="center"/>
    </xf>
    <xf numFmtId="2" fontId="10" fillId="5" borderId="0" xfId="26" applyNumberFormat="1" applyFont="1" applyFill="1" applyAlignment="1">
      <alignment horizontal="right" vertical="center"/>
    </xf>
    <xf numFmtId="166" fontId="10" fillId="0" borderId="0" xfId="1" applyNumberFormat="1" applyFont="1" applyBorder="1" applyAlignment="1">
      <alignment vertical="center"/>
    </xf>
    <xf numFmtId="0" fontId="11" fillId="5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7" borderId="0" xfId="0" applyFont="1" applyFill="1" applyAlignment="1">
      <alignment horizontal="center" vertical="center"/>
    </xf>
    <xf numFmtId="0" fontId="25" fillId="6" borderId="0" xfId="0" applyFont="1" applyFill="1" applyAlignment="1">
      <alignment vertical="center"/>
    </xf>
    <xf numFmtId="0" fontId="11" fillId="5" borderId="5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3" fontId="11" fillId="0" borderId="5" xfId="0" applyNumberFormat="1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0" fontId="10" fillId="5" borderId="9" xfId="0" applyFont="1" applyFill="1" applyBorder="1" applyAlignment="1">
      <alignment vertical="center"/>
    </xf>
    <xf numFmtId="0" fontId="10" fillId="0" borderId="1" xfId="26" applyFont="1" applyBorder="1" applyAlignment="1">
      <alignment vertical="center"/>
    </xf>
    <xf numFmtId="0" fontId="10" fillId="5" borderId="0" xfId="26" applyFont="1" applyFill="1" applyAlignment="1">
      <alignment vertical="center"/>
    </xf>
    <xf numFmtId="166" fontId="11" fillId="0" borderId="0" xfId="1" applyNumberFormat="1" applyFont="1" applyBorder="1" applyAlignment="1">
      <alignment vertical="center"/>
    </xf>
    <xf numFmtId="0" fontId="10" fillId="0" borderId="0" xfId="26" applyFont="1" applyAlignment="1">
      <alignment horizontal="left" vertical="center"/>
    </xf>
    <xf numFmtId="165" fontId="11" fillId="0" borderId="0" xfId="2" applyNumberFormat="1" applyFont="1" applyBorder="1" applyAlignment="1">
      <alignment vertical="center"/>
    </xf>
    <xf numFmtId="166" fontId="10" fillId="0" borderId="9" xfId="1" applyNumberFormat="1" applyFont="1" applyFill="1" applyBorder="1" applyAlignment="1">
      <alignment vertical="center"/>
    </xf>
    <xf numFmtId="166" fontId="11" fillId="0" borderId="0" xfId="1" applyNumberFormat="1" applyFont="1" applyFill="1" applyBorder="1" applyAlignment="1">
      <alignment vertical="center"/>
    </xf>
    <xf numFmtId="0" fontId="24" fillId="5" borderId="0" xfId="26" applyFont="1" applyFill="1" applyAlignment="1">
      <alignment horizontal="left" vertical="center"/>
    </xf>
    <xf numFmtId="0" fontId="25" fillId="5" borderId="0" xfId="26" applyFont="1" applyFill="1" applyAlignment="1">
      <alignment vertical="center"/>
    </xf>
    <xf numFmtId="166" fontId="27" fillId="0" borderId="0" xfId="1" applyNumberFormat="1" applyFont="1" applyBorder="1" applyAlignment="1">
      <alignment horizontal="right" vertical="center"/>
    </xf>
    <xf numFmtId="165" fontId="11" fillId="5" borderId="0" xfId="2" applyNumberFormat="1" applyFont="1" applyFill="1" applyBorder="1" applyAlignment="1">
      <alignment vertical="center"/>
    </xf>
    <xf numFmtId="165" fontId="10" fillId="0" borderId="0" xfId="2" applyNumberFormat="1" applyFont="1" applyBorder="1" applyAlignment="1">
      <alignment vertical="center"/>
    </xf>
    <xf numFmtId="0" fontId="23" fillId="5" borderId="0" xfId="26" applyFont="1" applyFill="1" applyAlignment="1">
      <alignment horizontal="center" vertical="center"/>
    </xf>
    <xf numFmtId="166" fontId="11" fillId="0" borderId="6" xfId="1" applyNumberFormat="1" applyFont="1" applyBorder="1" applyAlignment="1">
      <alignment vertical="center"/>
    </xf>
    <xf numFmtId="43" fontId="11" fillId="0" borderId="0" xfId="1" applyFont="1" applyBorder="1" applyAlignment="1">
      <alignment vertical="center"/>
    </xf>
    <xf numFmtId="165" fontId="11" fillId="0" borderId="0" xfId="2" applyNumberFormat="1" applyFont="1" applyBorder="1" applyAlignment="1">
      <alignment horizontal="right" vertical="center"/>
    </xf>
    <xf numFmtId="166" fontId="11" fillId="0" borderId="0" xfId="1" applyNumberFormat="1" applyFont="1" applyBorder="1" applyAlignment="1">
      <alignment horizontal="right" vertical="center"/>
    </xf>
    <xf numFmtId="2" fontId="11" fillId="5" borderId="0" xfId="26" applyNumberFormat="1" applyFont="1" applyFill="1" applyAlignment="1">
      <alignment horizontal="left" vertical="center"/>
    </xf>
    <xf numFmtId="0" fontId="10" fillId="5" borderId="3" xfId="26" applyFont="1" applyFill="1" applyBorder="1" applyAlignment="1">
      <alignment vertical="center"/>
    </xf>
    <xf numFmtId="0" fontId="10" fillId="0" borderId="3" xfId="26" applyFont="1" applyBorder="1" applyAlignment="1">
      <alignment vertical="center"/>
    </xf>
    <xf numFmtId="2" fontId="10" fillId="5" borderId="3" xfId="26" applyNumberFormat="1" applyFont="1" applyFill="1" applyBorder="1" applyAlignment="1">
      <alignment horizontal="left" vertical="center"/>
    </xf>
    <xf numFmtId="0" fontId="11" fillId="5" borderId="1" xfId="26" applyFont="1" applyFill="1" applyBorder="1" applyAlignment="1">
      <alignment vertical="center"/>
    </xf>
    <xf numFmtId="0" fontId="25" fillId="5" borderId="6" xfId="26" applyFont="1" applyFill="1" applyBorder="1" applyAlignment="1">
      <alignment vertical="center"/>
    </xf>
    <xf numFmtId="43" fontId="11" fillId="0" borderId="0" xfId="1" applyFont="1" applyBorder="1" applyAlignment="1">
      <alignment horizontal="left" vertical="center"/>
    </xf>
    <xf numFmtId="2" fontId="11" fillId="0" borderId="0" xfId="26" applyNumberFormat="1" applyFont="1" applyAlignment="1">
      <alignment vertical="center"/>
    </xf>
    <xf numFmtId="2" fontId="10" fillId="0" borderId="0" xfId="26" applyNumberFormat="1" applyFont="1" applyAlignment="1">
      <alignment vertical="center"/>
    </xf>
    <xf numFmtId="0" fontId="11" fillId="0" borderId="7" xfId="26" applyFont="1" applyBorder="1" applyAlignment="1">
      <alignment vertical="center"/>
    </xf>
    <xf numFmtId="0" fontId="11" fillId="0" borderId="1" xfId="26" applyFont="1" applyBorder="1" applyAlignment="1">
      <alignment horizontal="left" vertical="center"/>
    </xf>
    <xf numFmtId="0" fontId="11" fillId="0" borderId="8" xfId="26" applyFont="1" applyBorder="1" applyAlignment="1">
      <alignment vertical="center"/>
    </xf>
    <xf numFmtId="0" fontId="25" fillId="6" borderId="6" xfId="26" applyFont="1" applyFill="1" applyBorder="1" applyAlignment="1">
      <alignment vertical="center"/>
    </xf>
    <xf numFmtId="165" fontId="11" fillId="5" borderId="1" xfId="2" applyNumberFormat="1" applyFont="1" applyFill="1" applyBorder="1" applyAlignment="1">
      <alignment vertical="center"/>
    </xf>
    <xf numFmtId="166" fontId="31" fillId="0" borderId="1" xfId="1" applyNumberFormat="1" applyFont="1" applyBorder="1" applyAlignment="1">
      <alignment vertical="center"/>
    </xf>
    <xf numFmtId="3" fontId="13" fillId="0" borderId="0" xfId="1" applyNumberFormat="1" applyFont="1" applyBorder="1" applyAlignment="1">
      <alignment vertical="center"/>
    </xf>
    <xf numFmtId="166" fontId="31" fillId="5" borderId="0" xfId="1" applyNumberFormat="1" applyFont="1" applyFill="1" applyBorder="1" applyAlignment="1">
      <alignment vertical="center"/>
    </xf>
    <xf numFmtId="166" fontId="32" fillId="5" borderId="0" xfId="26" applyNumberFormat="1" applyFont="1" applyFill="1" applyAlignment="1">
      <alignment vertical="center"/>
    </xf>
    <xf numFmtId="0" fontId="34" fillId="0" borderId="0" xfId="4" applyFont="1" applyBorder="1" applyAlignment="1">
      <alignment vertical="center"/>
    </xf>
    <xf numFmtId="0" fontId="34" fillId="5" borderId="0" xfId="4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9" fontId="28" fillId="0" borderId="0" xfId="0" applyNumberFormat="1" applyFont="1" applyAlignment="1">
      <alignment vertical="center"/>
    </xf>
    <xf numFmtId="165" fontId="28" fillId="0" borderId="0" xfId="2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65" fontId="28" fillId="0" borderId="0" xfId="2" applyNumberFormat="1" applyFont="1" applyAlignment="1">
      <alignment horizontal="right" vertical="center"/>
    </xf>
    <xf numFmtId="0" fontId="26" fillId="5" borderId="0" xfId="26" applyFont="1" applyFill="1" applyAlignment="1">
      <alignment vertical="center"/>
    </xf>
    <xf numFmtId="170" fontId="26" fillId="0" borderId="1" xfId="26" applyNumberFormat="1" applyFont="1" applyBorder="1" applyAlignment="1">
      <alignment vertical="center"/>
    </xf>
    <xf numFmtId="170" fontId="26" fillId="0" borderId="1" xfId="26" applyNumberFormat="1" applyFont="1" applyBorder="1" applyAlignment="1">
      <alignment horizontal="right" vertical="center"/>
    </xf>
    <xf numFmtId="165" fontId="10" fillId="5" borderId="3" xfId="2" applyNumberFormat="1" applyFont="1" applyFill="1" applyBorder="1" applyAlignment="1">
      <alignment vertical="center"/>
    </xf>
    <xf numFmtId="0" fontId="23" fillId="6" borderId="0" xfId="26" applyFont="1" applyFill="1" applyAlignment="1">
      <alignment horizontal="center" vertical="center"/>
    </xf>
    <xf numFmtId="165" fontId="10" fillId="0" borderId="9" xfId="2" applyNumberFormat="1" applyFont="1" applyBorder="1" applyAlignment="1">
      <alignment vertical="center"/>
    </xf>
    <xf numFmtId="165" fontId="11" fillId="0" borderId="0" xfId="2" applyNumberFormat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165" fontId="26" fillId="0" borderId="0" xfId="2" applyNumberFormat="1" applyFont="1" applyAlignment="1">
      <alignment horizontal="right" vertical="center"/>
    </xf>
    <xf numFmtId="2" fontId="30" fillId="12" borderId="10" xfId="0" applyNumberFormat="1" applyFont="1" applyFill="1" applyBorder="1" applyAlignment="1">
      <alignment vertical="center"/>
    </xf>
    <xf numFmtId="2" fontId="30" fillId="12" borderId="11" xfId="0" applyNumberFormat="1" applyFont="1" applyFill="1" applyBorder="1" applyAlignment="1">
      <alignment vertical="center"/>
    </xf>
    <xf numFmtId="166" fontId="10" fillId="0" borderId="3" xfId="1" applyNumberFormat="1" applyFont="1" applyFill="1" applyBorder="1" applyAlignment="1">
      <alignment vertical="center"/>
    </xf>
    <xf numFmtId="3" fontId="23" fillId="9" borderId="0" xfId="26" applyNumberFormat="1" applyFont="1" applyFill="1" applyAlignment="1">
      <alignment horizontal="left" vertical="center"/>
    </xf>
    <xf numFmtId="3" fontId="23" fillId="9" borderId="0" xfId="26" applyNumberFormat="1" applyFont="1" applyFill="1" applyAlignment="1">
      <alignment horizontal="right" vertical="center"/>
    </xf>
    <xf numFmtId="3" fontId="16" fillId="0" borderId="1" xfId="26" applyNumberFormat="1" applyFont="1" applyBorder="1" applyAlignment="1">
      <alignment vertical="center"/>
    </xf>
    <xf numFmtId="166" fontId="32" fillId="0" borderId="0" xfId="1" applyNumberFormat="1" applyFont="1" applyBorder="1" applyAlignment="1">
      <alignment vertical="center"/>
    </xf>
    <xf numFmtId="3" fontId="19" fillId="0" borderId="0" xfId="26" applyNumberFormat="1" applyFont="1" applyAlignment="1">
      <alignment vertical="center"/>
    </xf>
    <xf numFmtId="166" fontId="37" fillId="0" borderId="3" xfId="1" applyNumberFormat="1" applyFont="1" applyBorder="1" applyAlignment="1">
      <alignment vertical="center"/>
    </xf>
    <xf numFmtId="3" fontId="16" fillId="0" borderId="3" xfId="26" applyNumberFormat="1" applyFont="1" applyBorder="1" applyAlignment="1">
      <alignment vertical="center"/>
    </xf>
    <xf numFmtId="1" fontId="15" fillId="0" borderId="0" xfId="1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" fontId="17" fillId="0" borderId="0" xfId="1" applyNumberFormat="1" applyFont="1" applyAlignment="1">
      <alignment horizontal="right" vertical="center"/>
    </xf>
    <xf numFmtId="1" fontId="15" fillId="0" borderId="4" xfId="1" applyNumberFormat="1" applyFont="1" applyFill="1" applyBorder="1" applyAlignment="1">
      <alignment horizontal="right" vertical="center"/>
    </xf>
    <xf numFmtId="1" fontId="15" fillId="0" borderId="0" xfId="1" applyNumberFormat="1" applyFont="1" applyFill="1" applyBorder="1" applyAlignment="1">
      <alignment horizontal="right" vertical="center"/>
    </xf>
    <xf numFmtId="0" fontId="38" fillId="5" borderId="0" xfId="26" applyFont="1" applyFill="1" applyAlignment="1">
      <alignment vertical="center"/>
    </xf>
    <xf numFmtId="0" fontId="38" fillId="0" borderId="0" xfId="26" applyFont="1" applyAlignment="1">
      <alignment vertical="center"/>
    </xf>
    <xf numFmtId="0" fontId="19" fillId="5" borderId="0" xfId="26" applyFont="1" applyFill="1" applyAlignment="1">
      <alignment vertical="center"/>
    </xf>
    <xf numFmtId="0" fontId="22" fillId="0" borderId="0" xfId="0" applyFont="1" applyAlignment="1">
      <alignment vertical="center"/>
    </xf>
    <xf numFmtId="0" fontId="16" fillId="5" borderId="0" xfId="26" applyFont="1" applyFill="1" applyAlignment="1">
      <alignment vertical="center"/>
    </xf>
    <xf numFmtId="0" fontId="11" fillId="5" borderId="0" xfId="26" applyFont="1" applyFill="1" applyAlignment="1">
      <alignment horizontal="right" vertical="center"/>
    </xf>
    <xf numFmtId="1" fontId="15" fillId="5" borderId="0" xfId="1" applyNumberFormat="1" applyFont="1" applyFill="1" applyAlignment="1">
      <alignment vertical="center"/>
    </xf>
    <xf numFmtId="0" fontId="23" fillId="4" borderId="0" xfId="26" applyFont="1" applyFill="1" applyAlignment="1">
      <alignment horizontal="center" vertical="center"/>
    </xf>
    <xf numFmtId="0" fontId="24" fillId="4" borderId="0" xfId="26" applyFont="1" applyFill="1" applyAlignment="1">
      <alignment vertical="center"/>
    </xf>
    <xf numFmtId="0" fontId="24" fillId="11" borderId="0" xfId="26" applyFont="1" applyFill="1" applyAlignment="1">
      <alignment vertical="center"/>
    </xf>
    <xf numFmtId="0" fontId="24" fillId="4" borderId="0" xfId="26" applyFont="1" applyFill="1" applyAlignment="1">
      <alignment horizontal="center" vertical="center"/>
    </xf>
    <xf numFmtId="1" fontId="17" fillId="5" borderId="0" xfId="1" applyNumberFormat="1" applyFont="1" applyFill="1" applyBorder="1" applyAlignment="1">
      <alignment vertical="center"/>
    </xf>
    <xf numFmtId="0" fontId="11" fillId="8" borderId="5" xfId="26" applyFont="1" applyFill="1" applyBorder="1" applyAlignment="1">
      <alignment vertical="center"/>
    </xf>
    <xf numFmtId="0" fontId="39" fillId="8" borderId="0" xfId="26" applyFont="1" applyFill="1" applyAlignment="1">
      <alignment vertical="center"/>
    </xf>
    <xf numFmtId="0" fontId="32" fillId="8" borderId="0" xfId="26" applyFont="1" applyFill="1" applyAlignment="1">
      <alignment vertical="center"/>
    </xf>
    <xf numFmtId="170" fontId="39" fillId="8" borderId="0" xfId="26" applyNumberFormat="1" applyFont="1" applyFill="1" applyAlignment="1">
      <alignment horizontal="right" vertical="center"/>
    </xf>
    <xf numFmtId="170" fontId="39" fillId="10" borderId="0" xfId="26" applyNumberFormat="1" applyFont="1" applyFill="1" applyAlignment="1">
      <alignment horizontal="right" vertical="center"/>
    </xf>
    <xf numFmtId="170" fontId="39" fillId="8" borderId="6" xfId="26" applyNumberFormat="1" applyFont="1" applyFill="1" applyBorder="1" applyAlignment="1">
      <alignment horizontal="right" vertical="center"/>
    </xf>
    <xf numFmtId="0" fontId="19" fillId="5" borderId="5" xfId="26" applyFont="1" applyFill="1" applyBorder="1" applyAlignment="1">
      <alignment vertical="center"/>
    </xf>
    <xf numFmtId="172" fontId="40" fillId="5" borderId="0" xfId="26" applyNumberFormat="1" applyFont="1" applyFill="1" applyAlignment="1">
      <alignment vertical="center"/>
    </xf>
    <xf numFmtId="172" fontId="40" fillId="5" borderId="6" xfId="26" applyNumberFormat="1" applyFont="1" applyFill="1" applyBorder="1" applyAlignment="1">
      <alignment vertical="center"/>
    </xf>
    <xf numFmtId="165" fontId="41" fillId="0" borderId="0" xfId="2" applyNumberFormat="1" applyFont="1" applyBorder="1" applyAlignment="1">
      <alignment vertical="center"/>
    </xf>
    <xf numFmtId="165" fontId="41" fillId="0" borderId="4" xfId="2" applyNumberFormat="1" applyFont="1" applyBorder="1" applyAlignment="1">
      <alignment horizontal="center" vertical="center"/>
    </xf>
    <xf numFmtId="165" fontId="19" fillId="5" borderId="0" xfId="2" applyNumberFormat="1" applyFont="1" applyFill="1" applyAlignment="1">
      <alignment horizontal="right" vertical="center"/>
    </xf>
    <xf numFmtId="3" fontId="19" fillId="5" borderId="6" xfId="26" applyNumberFormat="1" applyFont="1" applyFill="1" applyBorder="1" applyAlignment="1">
      <alignment horizontal="right" vertical="center"/>
    </xf>
    <xf numFmtId="0" fontId="19" fillId="0" borderId="5" xfId="26" applyFont="1" applyBorder="1" applyAlignment="1">
      <alignment vertical="center"/>
    </xf>
    <xf numFmtId="2" fontId="13" fillId="5" borderId="4" xfId="0" applyNumberFormat="1" applyFont="1" applyFill="1" applyBorder="1" applyAlignment="1">
      <alignment horizontal="center"/>
    </xf>
    <xf numFmtId="3" fontId="19" fillId="0" borderId="6" xfId="26" applyNumberFormat="1" applyFont="1" applyBorder="1" applyAlignment="1">
      <alignment horizontal="right" vertical="center"/>
    </xf>
    <xf numFmtId="2" fontId="19" fillId="0" borderId="0" xfId="26" applyNumberFormat="1" applyFont="1" applyAlignment="1">
      <alignment vertical="center"/>
    </xf>
    <xf numFmtId="2" fontId="13" fillId="0" borderId="4" xfId="26" applyNumberFormat="1" applyFont="1" applyBorder="1" applyAlignment="1">
      <alignment vertical="center"/>
    </xf>
    <xf numFmtId="2" fontId="13" fillId="5" borderId="0" xfId="0" applyNumberFormat="1" applyFont="1" applyFill="1"/>
    <xf numFmtId="2" fontId="19" fillId="0" borderId="0" xfId="0" applyNumberFormat="1" applyFont="1"/>
    <xf numFmtId="0" fontId="19" fillId="0" borderId="6" xfId="26" applyFont="1" applyBorder="1" applyAlignment="1">
      <alignment vertical="center"/>
    </xf>
    <xf numFmtId="0" fontId="19" fillId="5" borderId="6" xfId="26" applyFont="1" applyFill="1" applyBorder="1" applyAlignment="1">
      <alignment vertical="center"/>
    </xf>
    <xf numFmtId="0" fontId="23" fillId="9" borderId="0" xfId="26" applyFont="1" applyFill="1" applyAlignment="1">
      <alignment vertical="center"/>
    </xf>
    <xf numFmtId="3" fontId="16" fillId="9" borderId="0" xfId="26" applyNumberFormat="1" applyFont="1" applyFill="1" applyAlignment="1">
      <alignment vertical="center"/>
    </xf>
    <xf numFmtId="3" fontId="16" fillId="5" borderId="0" xfId="26" applyNumberFormat="1" applyFont="1" applyFill="1" applyAlignment="1">
      <alignment vertical="center"/>
    </xf>
    <xf numFmtId="0" fontId="10" fillId="5" borderId="1" xfId="26" applyFont="1" applyFill="1" applyBorder="1" applyAlignment="1">
      <alignment vertical="center"/>
    </xf>
    <xf numFmtId="166" fontId="10" fillId="5" borderId="1" xfId="26" applyNumberFormat="1" applyFont="1" applyFill="1" applyBorder="1" applyAlignment="1">
      <alignment vertical="center"/>
    </xf>
    <xf numFmtId="3" fontId="16" fillId="5" borderId="1" xfId="26" applyNumberFormat="1" applyFont="1" applyFill="1" applyBorder="1" applyAlignment="1">
      <alignment vertical="center"/>
    </xf>
    <xf numFmtId="3" fontId="10" fillId="5" borderId="1" xfId="26" applyNumberFormat="1" applyFont="1" applyFill="1" applyBorder="1" applyAlignment="1">
      <alignment vertical="center"/>
    </xf>
    <xf numFmtId="166" fontId="10" fillId="5" borderId="1" xfId="1" applyNumberFormat="1" applyFont="1" applyFill="1" applyBorder="1" applyAlignment="1">
      <alignment vertical="center"/>
    </xf>
    <xf numFmtId="166" fontId="11" fillId="5" borderId="6" xfId="1" applyNumberFormat="1" applyFont="1" applyFill="1" applyBorder="1" applyAlignment="1">
      <alignment vertical="center"/>
    </xf>
    <xf numFmtId="166" fontId="11" fillId="5" borderId="0" xfId="26" applyNumberFormat="1" applyFont="1" applyFill="1" applyAlignment="1">
      <alignment vertical="center"/>
    </xf>
    <xf numFmtId="3" fontId="19" fillId="5" borderId="0" xfId="26" applyNumberFormat="1" applyFont="1" applyFill="1" applyAlignment="1">
      <alignment vertical="center"/>
    </xf>
    <xf numFmtId="3" fontId="11" fillId="5" borderId="0" xfId="26" applyNumberFormat="1" applyFont="1" applyFill="1" applyAlignment="1">
      <alignment vertical="center"/>
    </xf>
    <xf numFmtId="37" fontId="11" fillId="0" borderId="0" xfId="26" applyNumberFormat="1" applyFont="1" applyAlignment="1">
      <alignment vertical="center"/>
    </xf>
    <xf numFmtId="37" fontId="11" fillId="0" borderId="5" xfId="26" applyNumberFormat="1" applyFont="1" applyBorder="1" applyAlignment="1">
      <alignment vertical="center"/>
    </xf>
    <xf numFmtId="166" fontId="11" fillId="0" borderId="0" xfId="26" applyNumberFormat="1" applyFont="1" applyAlignment="1">
      <alignment vertical="center"/>
    </xf>
    <xf numFmtId="166" fontId="11" fillId="0" borderId="6" xfId="1" applyNumberFormat="1" applyFont="1" applyFill="1" applyBorder="1" applyAlignment="1">
      <alignment vertical="center"/>
    </xf>
    <xf numFmtId="0" fontId="16" fillId="0" borderId="5" xfId="26" applyFont="1" applyBorder="1" applyAlignment="1">
      <alignment vertical="center"/>
    </xf>
    <xf numFmtId="166" fontId="10" fillId="0" borderId="3" xfId="26" applyNumberFormat="1" applyFont="1" applyBorder="1" applyAlignment="1">
      <alignment vertical="center"/>
    </xf>
    <xf numFmtId="3" fontId="10" fillId="0" borderId="3" xfId="26" applyNumberFormat="1" applyFont="1" applyBorder="1" applyAlignment="1">
      <alignment vertical="center"/>
    </xf>
    <xf numFmtId="37" fontId="11" fillId="5" borderId="0" xfId="26" applyNumberFormat="1" applyFont="1" applyFill="1" applyAlignment="1">
      <alignment vertical="center"/>
    </xf>
    <xf numFmtId="37" fontId="11" fillId="5" borderId="6" xfId="26" applyNumberFormat="1" applyFont="1" applyFill="1" applyBorder="1" applyAlignment="1">
      <alignment vertical="center"/>
    </xf>
    <xf numFmtId="0" fontId="19" fillId="0" borderId="7" xfId="26" applyFont="1" applyBorder="1" applyAlignment="1">
      <alignment vertical="center"/>
    </xf>
    <xf numFmtId="0" fontId="16" fillId="0" borderId="1" xfId="26" applyFont="1" applyBorder="1" applyAlignment="1">
      <alignment vertical="center"/>
    </xf>
    <xf numFmtId="165" fontId="10" fillId="2" borderId="1" xfId="2" applyNumberFormat="1" applyFont="1" applyFill="1" applyBorder="1" applyAlignment="1">
      <alignment horizontal="right" vertical="center"/>
    </xf>
    <xf numFmtId="0" fontId="19" fillId="0" borderId="1" xfId="26" applyFont="1" applyBorder="1" applyAlignment="1">
      <alignment vertical="center"/>
    </xf>
    <xf numFmtId="0" fontId="19" fillId="0" borderId="8" xfId="26" applyFont="1" applyBorder="1" applyAlignment="1">
      <alignment vertical="center"/>
    </xf>
    <xf numFmtId="3" fontId="19" fillId="0" borderId="0" xfId="26" applyNumberFormat="1" applyFont="1" applyAlignment="1">
      <alignment horizontal="right" vertical="center"/>
    </xf>
    <xf numFmtId="0" fontId="23" fillId="4" borderId="5" xfId="26" applyFont="1" applyFill="1" applyBorder="1" applyAlignment="1">
      <alignment horizontal="center" vertical="center"/>
    </xf>
    <xf numFmtId="0" fontId="24" fillId="4" borderId="6" xfId="26" applyFont="1" applyFill="1" applyBorder="1" applyAlignment="1">
      <alignment horizontal="center" vertical="center"/>
    </xf>
    <xf numFmtId="1" fontId="17" fillId="0" borderId="0" xfId="1" applyNumberFormat="1" applyFont="1" applyBorder="1" applyAlignment="1">
      <alignment vertical="center"/>
    </xf>
    <xf numFmtId="3" fontId="19" fillId="5" borderId="0" xfId="26" applyNumberFormat="1" applyFont="1" applyFill="1" applyAlignment="1">
      <alignment horizontal="right" vertical="center"/>
    </xf>
    <xf numFmtId="0" fontId="16" fillId="0" borderId="9" xfId="26" applyFont="1" applyBorder="1" applyAlignment="1">
      <alignment vertical="center"/>
    </xf>
    <xf numFmtId="3" fontId="16" fillId="0" borderId="9" xfId="26" applyNumberFormat="1" applyFont="1" applyBorder="1" applyAlignment="1">
      <alignment vertical="center"/>
    </xf>
    <xf numFmtId="166" fontId="11" fillId="5" borderId="1" xfId="26" applyNumberFormat="1" applyFont="1" applyFill="1" applyBorder="1" applyAlignment="1">
      <alignment vertical="center"/>
    </xf>
    <xf numFmtId="3" fontId="19" fillId="5" borderId="1" xfId="26" applyNumberFormat="1" applyFont="1" applyFill="1" applyBorder="1" applyAlignment="1">
      <alignment vertical="center"/>
    </xf>
    <xf numFmtId="2" fontId="32" fillId="2" borderId="0" xfId="26" applyNumberFormat="1" applyFont="1" applyFill="1" applyAlignment="1">
      <alignment vertical="center"/>
    </xf>
    <xf numFmtId="4" fontId="19" fillId="0" borderId="0" xfId="0" applyNumberFormat="1" applyFont="1"/>
    <xf numFmtId="0" fontId="32" fillId="2" borderId="0" xfId="26" applyFont="1" applyFill="1" applyAlignment="1">
      <alignment vertical="center"/>
    </xf>
    <xf numFmtId="4" fontId="19" fillId="0" borderId="0" xfId="1" applyNumberFormat="1" applyFont="1" applyBorder="1"/>
    <xf numFmtId="0" fontId="16" fillId="5" borderId="3" xfId="26" applyFont="1" applyFill="1" applyBorder="1" applyAlignment="1">
      <alignment vertical="center"/>
    </xf>
    <xf numFmtId="2" fontId="37" fillId="2" borderId="3" xfId="26" applyNumberFormat="1" applyFont="1" applyFill="1" applyBorder="1" applyAlignment="1">
      <alignment vertical="center"/>
    </xf>
    <xf numFmtId="0" fontId="37" fillId="2" borderId="3" xfId="26" applyFont="1" applyFill="1" applyBorder="1" applyAlignment="1">
      <alignment vertical="center"/>
    </xf>
    <xf numFmtId="166" fontId="10" fillId="0" borderId="0" xfId="26" applyNumberFormat="1" applyFont="1" applyAlignment="1">
      <alignment vertical="center"/>
    </xf>
    <xf numFmtId="2" fontId="37" fillId="2" borderId="0" xfId="26" applyNumberFormat="1" applyFont="1" applyFill="1" applyAlignment="1">
      <alignment vertical="center"/>
    </xf>
    <xf numFmtId="0" fontId="37" fillId="2" borderId="0" xfId="26" applyFont="1" applyFill="1" applyAlignment="1">
      <alignment vertical="center"/>
    </xf>
    <xf numFmtId="3" fontId="10" fillId="0" borderId="0" xfId="26" applyNumberFormat="1" applyFont="1" applyAlignment="1">
      <alignment vertical="center"/>
    </xf>
    <xf numFmtId="43" fontId="11" fillId="0" borderId="0" xfId="26" applyNumberFormat="1" applyFont="1" applyAlignment="1">
      <alignment vertical="center"/>
    </xf>
    <xf numFmtId="3" fontId="23" fillId="9" borderId="0" xfId="26" applyNumberFormat="1" applyFont="1" applyFill="1" applyAlignment="1">
      <alignment vertical="center"/>
    </xf>
    <xf numFmtId="175" fontId="23" fillId="9" borderId="0" xfId="26" applyNumberFormat="1" applyFont="1" applyFill="1" applyAlignment="1">
      <alignment horizontal="right" vertical="center"/>
    </xf>
    <xf numFmtId="0" fontId="32" fillId="0" borderId="0" xfId="26" applyFont="1" applyAlignment="1">
      <alignment vertical="center"/>
    </xf>
    <xf numFmtId="0" fontId="37" fillId="5" borderId="3" xfId="26" applyFont="1" applyFill="1" applyBorder="1" applyAlignment="1">
      <alignment vertical="center"/>
    </xf>
    <xf numFmtId="3" fontId="16" fillId="5" borderId="3" xfId="26" applyNumberFormat="1" applyFont="1" applyFill="1" applyBorder="1" applyAlignment="1">
      <alignment vertical="center"/>
    </xf>
    <xf numFmtId="165" fontId="10" fillId="0" borderId="3" xfId="2" applyNumberFormat="1" applyFont="1" applyBorder="1" applyAlignment="1">
      <alignment vertical="center"/>
    </xf>
    <xf numFmtId="166" fontId="10" fillId="0" borderId="6" xfId="1" applyNumberFormat="1" applyFont="1" applyBorder="1" applyAlignment="1">
      <alignment vertical="center"/>
    </xf>
    <xf numFmtId="1" fontId="15" fillId="5" borderId="0" xfId="1" applyNumberFormat="1" applyFont="1" applyFill="1" applyBorder="1" applyAlignment="1">
      <alignment vertical="center"/>
    </xf>
    <xf numFmtId="0" fontId="42" fillId="0" borderId="0" xfId="26" applyFont="1" applyAlignment="1">
      <alignment vertical="center"/>
    </xf>
    <xf numFmtId="10" fontId="16" fillId="0" borderId="0" xfId="2" applyNumberFormat="1" applyFont="1" applyAlignment="1">
      <alignment horizontal="right" vertical="center"/>
    </xf>
    <xf numFmtId="0" fontId="37" fillId="2" borderId="9" xfId="26" applyFont="1" applyFill="1" applyBorder="1" applyAlignment="1">
      <alignment vertical="center"/>
    </xf>
    <xf numFmtId="3" fontId="16" fillId="0" borderId="0" xfId="26" applyNumberFormat="1" applyFont="1" applyAlignment="1">
      <alignment horizontal="right" vertical="center"/>
    </xf>
    <xf numFmtId="3" fontId="16" fillId="0" borderId="6" xfId="26" applyNumberFormat="1" applyFont="1" applyBorder="1" applyAlignment="1">
      <alignment horizontal="right" vertical="center"/>
    </xf>
    <xf numFmtId="0" fontId="43" fillId="0" borderId="0" xfId="26" applyFont="1" applyAlignment="1">
      <alignment vertical="center"/>
    </xf>
    <xf numFmtId="0" fontId="43" fillId="0" borderId="5" xfId="26" applyFont="1" applyBorder="1" applyAlignment="1">
      <alignment vertical="center"/>
    </xf>
    <xf numFmtId="166" fontId="43" fillId="0" borderId="0" xfId="1" applyNumberFormat="1" applyFont="1" applyBorder="1" applyAlignment="1">
      <alignment vertical="center"/>
    </xf>
    <xf numFmtId="3" fontId="23" fillId="0" borderId="6" xfId="26" applyNumberFormat="1" applyFont="1" applyBorder="1" applyAlignment="1">
      <alignment horizontal="right" vertical="center"/>
    </xf>
    <xf numFmtId="0" fontId="43" fillId="5" borderId="0" xfId="26" applyFont="1" applyFill="1" applyAlignment="1">
      <alignment vertical="center"/>
    </xf>
    <xf numFmtId="1" fontId="44" fillId="5" borderId="0" xfId="1" applyNumberFormat="1" applyFont="1" applyFill="1" applyAlignment="1">
      <alignment vertical="center"/>
    </xf>
    <xf numFmtId="0" fontId="37" fillId="0" borderId="0" xfId="26" applyFont="1" applyAlignment="1">
      <alignment vertical="center"/>
    </xf>
    <xf numFmtId="169" fontId="11" fillId="0" borderId="0" xfId="0" applyNumberFormat="1" applyFont="1" applyAlignment="1">
      <alignment horizontal="right" vertical="center"/>
    </xf>
    <xf numFmtId="1" fontId="15" fillId="0" borderId="0" xfId="1" applyNumberFormat="1" applyFont="1" applyFill="1" applyAlignment="1">
      <alignment vertical="center"/>
    </xf>
    <xf numFmtId="3" fontId="19" fillId="0" borderId="1" xfId="26" applyNumberFormat="1" applyFont="1" applyBorder="1" applyAlignment="1">
      <alignment horizontal="right" vertical="center"/>
    </xf>
    <xf numFmtId="3" fontId="19" fillId="0" borderId="8" xfId="26" applyNumberFormat="1" applyFont="1" applyBorder="1" applyAlignment="1">
      <alignment horizontal="right" vertical="center"/>
    </xf>
    <xf numFmtId="0" fontId="29" fillId="0" borderId="0" xfId="4" applyAlignment="1">
      <alignment horizontal="left" vertical="center"/>
    </xf>
    <xf numFmtId="0" fontId="29" fillId="0" borderId="0" xfId="27" applyFont="1" applyAlignment="1">
      <alignment horizontal="left" vertical="center"/>
    </xf>
    <xf numFmtId="166" fontId="37" fillId="5" borderId="3" xfId="1" applyNumberFormat="1" applyFont="1" applyFill="1" applyBorder="1" applyAlignment="1">
      <alignment vertical="center"/>
    </xf>
    <xf numFmtId="166" fontId="37" fillId="2" borderId="9" xfId="1" applyNumberFormat="1" applyFont="1" applyFill="1" applyBorder="1" applyAlignment="1">
      <alignment vertical="center"/>
    </xf>
    <xf numFmtId="166" fontId="16" fillId="0" borderId="0" xfId="2" applyNumberFormat="1" applyFont="1" applyAlignment="1">
      <alignment horizontal="right" vertical="center"/>
    </xf>
    <xf numFmtId="0" fontId="16" fillId="0" borderId="0" xfId="0" applyFont="1"/>
    <xf numFmtId="1" fontId="17" fillId="0" borderId="4" xfId="1" applyNumberFormat="1" applyFont="1" applyFill="1" applyBorder="1" applyAlignment="1">
      <alignment horizontal="right" vertical="center"/>
    </xf>
    <xf numFmtId="0" fontId="22" fillId="0" borderId="0" xfId="0" applyFont="1"/>
    <xf numFmtId="165" fontId="19" fillId="5" borderId="0" xfId="2" applyNumberFormat="1" applyFont="1" applyFill="1" applyAlignment="1">
      <alignment vertical="center"/>
    </xf>
    <xf numFmtId="0" fontId="16" fillId="5" borderId="1" xfId="26" applyFont="1" applyFill="1" applyBorder="1" applyAlignment="1">
      <alignment vertical="center"/>
    </xf>
    <xf numFmtId="2" fontId="37" fillId="2" borderId="1" xfId="26" applyNumberFormat="1" applyFont="1" applyFill="1" applyBorder="1" applyAlignment="1">
      <alignment vertical="center"/>
    </xf>
    <xf numFmtId="165" fontId="13" fillId="5" borderId="0" xfId="2" applyNumberFormat="1" applyFont="1" applyFill="1" applyAlignment="1">
      <alignment horizontal="right" vertical="center"/>
    </xf>
    <xf numFmtId="0" fontId="32" fillId="5" borderId="0" xfId="26" applyFont="1" applyFill="1" applyAlignment="1">
      <alignment vertical="center"/>
    </xf>
    <xf numFmtId="37" fontId="11" fillId="5" borderId="6" xfId="1" applyNumberFormat="1" applyFont="1" applyFill="1" applyBorder="1" applyAlignment="1">
      <alignment vertical="center"/>
    </xf>
    <xf numFmtId="37" fontId="45" fillId="0" borderId="0" xfId="26" applyNumberFormat="1" applyFont="1" applyAlignment="1">
      <alignment vertical="center"/>
    </xf>
    <xf numFmtId="37" fontId="19" fillId="0" borderId="0" xfId="26" applyNumberFormat="1" applyFont="1" applyAlignment="1">
      <alignment vertical="center"/>
    </xf>
    <xf numFmtId="165" fontId="13" fillId="0" borderId="0" xfId="2" applyNumberFormat="1" applyFont="1" applyBorder="1" applyAlignment="1">
      <alignment vertical="center"/>
    </xf>
    <xf numFmtId="165" fontId="19" fillId="0" borderId="0" xfId="2" applyNumberFormat="1" applyFont="1" applyBorder="1" applyAlignment="1">
      <alignment horizontal="right" vertical="center"/>
    </xf>
    <xf numFmtId="0" fontId="13" fillId="0" borderId="0" xfId="26" applyFont="1" applyAlignment="1">
      <alignment vertical="center"/>
    </xf>
    <xf numFmtId="170" fontId="19" fillId="5" borderId="0" xfId="26" applyNumberFormat="1" applyFont="1" applyFill="1" applyAlignment="1">
      <alignment vertical="center"/>
    </xf>
    <xf numFmtId="0" fontId="19" fillId="0" borderId="9" xfId="26" applyFont="1" applyBorder="1" applyAlignment="1">
      <alignment vertical="center"/>
    </xf>
    <xf numFmtId="166" fontId="19" fillId="0" borderId="1" xfId="26" applyNumberFormat="1" applyFont="1" applyBorder="1" applyAlignment="1">
      <alignment vertical="center"/>
    </xf>
    <xf numFmtId="0" fontId="19" fillId="5" borderId="1" xfId="26" applyFont="1" applyFill="1" applyBorder="1" applyAlignment="1">
      <alignment vertical="center"/>
    </xf>
    <xf numFmtId="164" fontId="19" fillId="0" borderId="0" xfId="26" applyNumberFormat="1" applyFont="1" applyAlignment="1">
      <alignment vertical="center"/>
    </xf>
    <xf numFmtId="0" fontId="46" fillId="5" borderId="1" xfId="26" applyFont="1" applyFill="1" applyBorder="1" applyAlignment="1">
      <alignment vertical="center"/>
    </xf>
    <xf numFmtId="0" fontId="46" fillId="0" borderId="1" xfId="26" applyFont="1" applyBorder="1" applyAlignment="1">
      <alignment vertical="center"/>
    </xf>
    <xf numFmtId="3" fontId="46" fillId="0" borderId="1" xfId="26" applyNumberFormat="1" applyFont="1" applyBorder="1" applyAlignment="1">
      <alignment horizontal="right" vertical="center"/>
    </xf>
    <xf numFmtId="3" fontId="46" fillId="0" borderId="1" xfId="26" applyNumberFormat="1" applyFont="1" applyBorder="1" applyAlignment="1">
      <alignment horizontal="left" vertical="center"/>
    </xf>
    <xf numFmtId="170" fontId="47" fillId="0" borderId="1" xfId="26" applyNumberFormat="1" applyFont="1" applyBorder="1" applyAlignment="1">
      <alignment horizontal="right" vertical="center"/>
    </xf>
    <xf numFmtId="0" fontId="46" fillId="0" borderId="1" xfId="26" applyFont="1" applyBorder="1" applyAlignment="1">
      <alignment horizontal="right" vertical="center"/>
    </xf>
    <xf numFmtId="0" fontId="13" fillId="5" borderId="0" xfId="26" applyFont="1" applyFill="1" applyAlignment="1">
      <alignment vertical="center"/>
    </xf>
    <xf numFmtId="169" fontId="13" fillId="0" borderId="0" xfId="26" applyNumberFormat="1" applyFont="1" applyAlignment="1">
      <alignment vertical="center"/>
    </xf>
    <xf numFmtId="166" fontId="11" fillId="3" borderId="0" xfId="1" applyNumberFormat="1" applyFont="1" applyFill="1" applyBorder="1" applyAlignment="1">
      <alignment vertical="center"/>
    </xf>
    <xf numFmtId="3" fontId="48" fillId="5" borderId="0" xfId="26" applyNumberFormat="1" applyFont="1" applyFill="1" applyAlignment="1">
      <alignment vertical="center"/>
    </xf>
    <xf numFmtId="3" fontId="22" fillId="5" borderId="0" xfId="26" applyNumberFormat="1" applyFont="1" applyFill="1" applyAlignment="1">
      <alignment horizontal="right" vertical="center"/>
    </xf>
    <xf numFmtId="3" fontId="19" fillId="0" borderId="1" xfId="26" applyNumberFormat="1" applyFont="1" applyBorder="1" applyAlignment="1">
      <alignment horizontal="left" vertical="center"/>
    </xf>
    <xf numFmtId="0" fontId="19" fillId="5" borderId="1" xfId="26" applyFont="1" applyFill="1" applyBorder="1" applyAlignment="1">
      <alignment horizontal="right" vertical="center"/>
    </xf>
    <xf numFmtId="0" fontId="19" fillId="0" borderId="1" xfId="26" applyFont="1" applyBorder="1" applyAlignment="1">
      <alignment horizontal="right" vertical="center"/>
    </xf>
    <xf numFmtId="3" fontId="19" fillId="0" borderId="0" xfId="26" applyNumberFormat="1" applyFont="1" applyAlignment="1">
      <alignment horizontal="left" vertical="center"/>
    </xf>
    <xf numFmtId="0" fontId="19" fillId="5" borderId="0" xfId="26" applyFont="1" applyFill="1" applyAlignment="1">
      <alignment horizontal="right" vertical="center"/>
    </xf>
    <xf numFmtId="0" fontId="19" fillId="0" borderId="0" xfId="26" applyFont="1" applyAlignment="1">
      <alignment horizontal="right" vertical="center"/>
    </xf>
    <xf numFmtId="0" fontId="22" fillId="0" borderId="0" xfId="26" applyFont="1" applyAlignment="1">
      <alignment horizontal="right" vertical="center"/>
    </xf>
    <xf numFmtId="175" fontId="19" fillId="0" borderId="0" xfId="26" applyNumberFormat="1" applyFont="1" applyAlignment="1">
      <alignment horizontal="left" vertical="center"/>
    </xf>
    <xf numFmtId="165" fontId="19" fillId="0" borderId="0" xfId="26" applyNumberFormat="1" applyFont="1" applyAlignment="1">
      <alignment vertical="center"/>
    </xf>
    <xf numFmtId="165" fontId="32" fillId="0" borderId="0" xfId="2" applyNumberFormat="1" applyFont="1" applyBorder="1" applyAlignment="1">
      <alignment vertical="center"/>
    </xf>
    <xf numFmtId="165" fontId="32" fillId="0" borderId="0" xfId="26" applyNumberFormat="1" applyFont="1" applyAlignment="1">
      <alignment vertical="center"/>
    </xf>
    <xf numFmtId="165" fontId="49" fillId="0" borderId="0" xfId="26" applyNumberFormat="1" applyFont="1" applyAlignment="1">
      <alignment vertical="center"/>
    </xf>
    <xf numFmtId="165" fontId="31" fillId="0" borderId="0" xfId="2" applyNumberFormat="1" applyFont="1" applyBorder="1" applyAlignment="1">
      <alignment vertical="center"/>
    </xf>
    <xf numFmtId="0" fontId="19" fillId="5" borderId="13" xfId="26" applyFont="1" applyFill="1" applyBorder="1" applyAlignment="1">
      <alignment vertical="center"/>
    </xf>
    <xf numFmtId="0" fontId="19" fillId="5" borderId="3" xfId="26" applyFont="1" applyFill="1" applyBorder="1" applyAlignment="1">
      <alignment vertical="center"/>
    </xf>
    <xf numFmtId="3" fontId="19" fillId="5" borderId="3" xfId="26" applyNumberFormat="1" applyFont="1" applyFill="1" applyBorder="1" applyAlignment="1">
      <alignment horizontal="right" vertical="center"/>
    </xf>
    <xf numFmtId="3" fontId="19" fillId="5" borderId="12" xfId="26" applyNumberFormat="1" applyFont="1" applyFill="1" applyBorder="1" applyAlignment="1">
      <alignment horizontal="right" vertical="center"/>
    </xf>
    <xf numFmtId="0" fontId="39" fillId="5" borderId="0" xfId="26" applyFont="1" applyFill="1" applyAlignment="1">
      <alignment vertical="center"/>
    </xf>
    <xf numFmtId="170" fontId="39" fillId="5" borderId="0" xfId="26" applyNumberFormat="1" applyFont="1" applyFill="1" applyAlignment="1">
      <alignment horizontal="right" vertical="center"/>
    </xf>
    <xf numFmtId="170" fontId="39" fillId="5" borderId="0" xfId="26" applyNumberFormat="1" applyFont="1" applyFill="1" applyAlignment="1">
      <alignment horizontal="left" vertical="center"/>
    </xf>
    <xf numFmtId="170" fontId="39" fillId="5" borderId="6" xfId="26" applyNumberFormat="1" applyFont="1" applyFill="1" applyBorder="1" applyAlignment="1">
      <alignment horizontal="right" vertical="center"/>
    </xf>
    <xf numFmtId="170" fontId="47" fillId="5" borderId="0" xfId="26" applyNumberFormat="1" applyFont="1" applyFill="1" applyAlignment="1">
      <alignment horizontal="left" vertical="center"/>
    </xf>
    <xf numFmtId="0" fontId="37" fillId="5" borderId="0" xfId="26" applyFont="1" applyFill="1" applyAlignment="1">
      <alignment vertical="center"/>
    </xf>
    <xf numFmtId="170" fontId="47" fillId="5" borderId="0" xfId="26" applyNumberFormat="1" applyFont="1" applyFill="1" applyAlignment="1">
      <alignment horizontal="right" vertical="center"/>
    </xf>
    <xf numFmtId="0" fontId="47" fillId="5" borderId="0" xfId="26" applyFont="1" applyFill="1" applyAlignment="1">
      <alignment horizontal="right" vertical="center"/>
    </xf>
    <xf numFmtId="0" fontId="37" fillId="5" borderId="1" xfId="26" applyFont="1" applyFill="1" applyBorder="1" applyAlignment="1">
      <alignment vertical="center"/>
    </xf>
    <xf numFmtId="0" fontId="32" fillId="5" borderId="1" xfId="26" applyFont="1" applyFill="1" applyBorder="1" applyAlignment="1">
      <alignment vertical="center"/>
    </xf>
    <xf numFmtId="170" fontId="39" fillId="0" borderId="1" xfId="26" applyNumberFormat="1" applyFont="1" applyBorder="1" applyAlignment="1">
      <alignment horizontal="right" vertical="center"/>
    </xf>
    <xf numFmtId="0" fontId="22" fillId="5" borderId="0" xfId="26" applyFont="1" applyFill="1" applyAlignment="1">
      <alignment vertical="center"/>
    </xf>
    <xf numFmtId="0" fontId="28" fillId="5" borderId="5" xfId="26" applyFont="1" applyFill="1" applyBorder="1" applyAlignment="1">
      <alignment vertical="center"/>
    </xf>
    <xf numFmtId="0" fontId="47" fillId="5" borderId="0" xfId="26" applyFont="1" applyFill="1" applyAlignment="1">
      <alignment vertical="center"/>
    </xf>
    <xf numFmtId="2" fontId="39" fillId="5" borderId="0" xfId="26" applyNumberFormat="1" applyFont="1" applyFill="1" applyAlignment="1">
      <alignment horizontal="right" vertical="center"/>
    </xf>
    <xf numFmtId="2" fontId="47" fillId="5" borderId="3" xfId="26" applyNumberFormat="1" applyFont="1" applyFill="1" applyBorder="1" applyAlignment="1">
      <alignment horizontal="right" vertical="center"/>
    </xf>
    <xf numFmtId="0" fontId="28" fillId="5" borderId="0" xfId="26" applyFont="1" applyFill="1" applyAlignment="1">
      <alignment vertical="center"/>
    </xf>
    <xf numFmtId="0" fontId="31" fillId="5" borderId="0" xfId="26" applyFont="1" applyFill="1" applyAlignment="1">
      <alignment vertical="center"/>
    </xf>
    <xf numFmtId="2" fontId="31" fillId="5" borderId="0" xfId="26" applyNumberFormat="1" applyFont="1" applyFill="1" applyAlignment="1">
      <alignment vertical="center"/>
    </xf>
    <xf numFmtId="0" fontId="29" fillId="0" borderId="0" xfId="4" applyBorder="1" applyAlignment="1">
      <alignment vertical="center"/>
    </xf>
    <xf numFmtId="2" fontId="32" fillId="5" borderId="0" xfId="26" applyNumberFormat="1" applyFont="1" applyFill="1" applyAlignment="1">
      <alignment vertical="center"/>
    </xf>
    <xf numFmtId="2" fontId="11" fillId="5" borderId="0" xfId="26" applyNumberFormat="1" applyFont="1" applyFill="1" applyAlignment="1">
      <alignment vertical="center"/>
    </xf>
    <xf numFmtId="166" fontId="32" fillId="5" borderId="0" xfId="1" applyNumberFormat="1" applyFont="1" applyFill="1" applyBorder="1" applyAlignment="1">
      <alignment horizontal="right" vertical="center"/>
    </xf>
    <xf numFmtId="0" fontId="50" fillId="0" borderId="10" xfId="26" applyFont="1" applyBorder="1" applyAlignment="1">
      <alignment horizontal="left" vertical="center"/>
    </xf>
    <xf numFmtId="0" fontId="50" fillId="0" borderId="9" xfId="26" applyFont="1" applyBorder="1" applyAlignment="1">
      <alignment horizontal="left" vertical="center"/>
    </xf>
    <xf numFmtId="0" fontId="37" fillId="5" borderId="9" xfId="26" applyFont="1" applyFill="1" applyBorder="1" applyAlignment="1">
      <alignment vertical="center"/>
    </xf>
    <xf numFmtId="2" fontId="37" fillId="5" borderId="9" xfId="26" applyNumberFormat="1" applyFont="1" applyFill="1" applyBorder="1" applyAlignment="1">
      <alignment vertical="center"/>
    </xf>
    <xf numFmtId="166" fontId="51" fillId="0" borderId="9" xfId="1" applyNumberFormat="1" applyFont="1" applyBorder="1" applyAlignment="1">
      <alignment horizontal="right" vertical="center"/>
    </xf>
    <xf numFmtId="2" fontId="31" fillId="5" borderId="9" xfId="26" applyNumberFormat="1" applyFont="1" applyFill="1" applyBorder="1" applyAlignment="1">
      <alignment vertical="center"/>
    </xf>
    <xf numFmtId="0" fontId="50" fillId="0" borderId="0" xfId="26" applyFont="1" applyAlignment="1">
      <alignment horizontal="left" vertical="center"/>
    </xf>
    <xf numFmtId="2" fontId="37" fillId="5" borderId="0" xfId="26" applyNumberFormat="1" applyFont="1" applyFill="1" applyAlignment="1">
      <alignment vertical="center"/>
    </xf>
    <xf numFmtId="166" fontId="51" fillId="0" borderId="0" xfId="1" applyNumberFormat="1" applyFont="1" applyBorder="1" applyAlignment="1">
      <alignment horizontal="right" vertical="center"/>
    </xf>
    <xf numFmtId="43" fontId="31" fillId="5" borderId="0" xfId="26" applyNumberFormat="1" applyFont="1" applyFill="1" applyAlignment="1">
      <alignment vertical="center"/>
    </xf>
    <xf numFmtId="0" fontId="11" fillId="5" borderId="7" xfId="26" applyFont="1" applyFill="1" applyBorder="1" applyAlignment="1">
      <alignment vertical="center"/>
    </xf>
    <xf numFmtId="170" fontId="39" fillId="5" borderId="1" xfId="26" applyNumberFormat="1" applyFont="1" applyFill="1" applyBorder="1" applyAlignment="1">
      <alignment horizontal="right" vertical="center"/>
    </xf>
    <xf numFmtId="170" fontId="39" fillId="5" borderId="8" xfId="26" applyNumberFormat="1" applyFont="1" applyFill="1" applyBorder="1" applyAlignment="1">
      <alignment horizontal="right" vertical="center"/>
    </xf>
    <xf numFmtId="0" fontId="28" fillId="0" borderId="0" xfId="0" applyFont="1"/>
    <xf numFmtId="0" fontId="29" fillId="0" borderId="0" xfId="4" applyAlignment="1">
      <alignment horizontal="left"/>
    </xf>
    <xf numFmtId="0" fontId="52" fillId="0" borderId="0" xfId="26" applyFont="1" applyAlignment="1">
      <alignment vertical="center"/>
    </xf>
    <xf numFmtId="0" fontId="11" fillId="0" borderId="0" xfId="0" applyFont="1" applyAlignment="1">
      <alignment horizontal="right"/>
    </xf>
    <xf numFmtId="1" fontId="53" fillId="0" borderId="0" xfId="1" applyNumberFormat="1" applyFont="1" applyAlignment="1">
      <alignment horizontal="right" vertical="center"/>
    </xf>
    <xf numFmtId="1" fontId="53" fillId="0" borderId="4" xfId="1" applyNumberFormat="1" applyFont="1" applyFill="1" applyBorder="1" applyAlignment="1">
      <alignment horizontal="right" vertical="center"/>
    </xf>
    <xf numFmtId="0" fontId="52" fillId="5" borderId="0" xfId="26" applyFont="1" applyFill="1" applyAlignment="1">
      <alignment vertical="center"/>
    </xf>
    <xf numFmtId="0" fontId="54" fillId="0" borderId="0" xfId="26" applyFont="1" applyAlignment="1">
      <alignment vertical="center"/>
    </xf>
    <xf numFmtId="176" fontId="39" fillId="10" borderId="0" xfId="26" applyNumberFormat="1" applyFont="1" applyFill="1" applyAlignment="1">
      <alignment horizontal="right" vertical="center"/>
    </xf>
    <xf numFmtId="176" fontId="39" fillId="8" borderId="0" xfId="26" applyNumberFormat="1" applyFont="1" applyFill="1" applyAlignment="1">
      <alignment horizontal="right" vertical="center"/>
    </xf>
    <xf numFmtId="176" fontId="39" fillId="8" borderId="6" xfId="26" applyNumberFormat="1" applyFont="1" applyFill="1" applyBorder="1" applyAlignment="1">
      <alignment horizontal="right" vertical="center"/>
    </xf>
    <xf numFmtId="10" fontId="19" fillId="0" borderId="4" xfId="26" applyNumberFormat="1" applyFont="1" applyBorder="1" applyAlignment="1">
      <alignment vertical="center"/>
    </xf>
    <xf numFmtId="165" fontId="19" fillId="3" borderId="0" xfId="26" applyNumberFormat="1" applyFont="1" applyFill="1" applyAlignment="1">
      <alignment vertical="center"/>
    </xf>
    <xf numFmtId="10" fontId="19" fillId="5" borderId="4" xfId="26" applyNumberFormat="1" applyFont="1" applyFill="1" applyBorder="1" applyAlignment="1">
      <alignment vertical="center"/>
    </xf>
    <xf numFmtId="165" fontId="31" fillId="5" borderId="3" xfId="2" applyNumberFormat="1" applyFont="1" applyFill="1" applyBorder="1" applyAlignment="1">
      <alignment vertical="center"/>
    </xf>
    <xf numFmtId="165" fontId="37" fillId="0" borderId="3" xfId="26" applyNumberFormat="1" applyFont="1" applyBorder="1" applyAlignment="1">
      <alignment vertical="center"/>
    </xf>
    <xf numFmtId="0" fontId="16" fillId="5" borderId="6" xfId="26" applyFont="1" applyFill="1" applyBorder="1" applyAlignment="1">
      <alignment vertical="center"/>
    </xf>
    <xf numFmtId="0" fontId="54" fillId="5" borderId="0" xfId="26" applyFont="1" applyFill="1" applyAlignment="1">
      <alignment vertical="center"/>
    </xf>
    <xf numFmtId="166" fontId="31" fillId="0" borderId="0" xfId="1" applyNumberFormat="1" applyFont="1" applyFill="1" applyBorder="1" applyAlignment="1">
      <alignment horizontal="right" vertical="center"/>
    </xf>
    <xf numFmtId="0" fontId="22" fillId="0" borderId="5" xfId="26" applyFont="1" applyBorder="1" applyAlignment="1">
      <alignment vertical="center"/>
    </xf>
    <xf numFmtId="165" fontId="55" fillId="0" borderId="0" xfId="2" applyNumberFormat="1" applyFont="1" applyFill="1" applyBorder="1" applyAlignment="1">
      <alignment horizontal="right" vertical="center"/>
    </xf>
    <xf numFmtId="165" fontId="22" fillId="5" borderId="0" xfId="26" applyNumberFormat="1" applyFont="1" applyFill="1" applyAlignment="1">
      <alignment vertical="center"/>
    </xf>
    <xf numFmtId="165" fontId="22" fillId="0" borderId="0" xfId="26" applyNumberFormat="1" applyFont="1" applyAlignment="1">
      <alignment vertical="center"/>
    </xf>
    <xf numFmtId="0" fontId="22" fillId="5" borderId="6" xfId="26" applyFont="1" applyFill="1" applyBorder="1" applyAlignment="1">
      <alignment vertical="center"/>
    </xf>
    <xf numFmtId="0" fontId="56" fillId="5" borderId="0" xfId="26" applyFont="1" applyFill="1" applyAlignment="1">
      <alignment vertical="center"/>
    </xf>
    <xf numFmtId="165" fontId="55" fillId="5" borderId="0" xfId="2" applyNumberFormat="1" applyFont="1" applyFill="1" applyBorder="1" applyAlignment="1">
      <alignment vertical="center"/>
    </xf>
    <xf numFmtId="165" fontId="19" fillId="5" borderId="0" xfId="2" applyNumberFormat="1" applyFont="1" applyFill="1" applyBorder="1" applyAlignment="1">
      <alignment vertical="center"/>
    </xf>
    <xf numFmtId="165" fontId="19" fillId="0" borderId="0" xfId="2" applyNumberFormat="1" applyFont="1" applyFill="1" applyBorder="1" applyAlignment="1">
      <alignment vertical="center"/>
    </xf>
    <xf numFmtId="166" fontId="13" fillId="0" borderId="0" xfId="1" applyNumberFormat="1" applyFont="1" applyFill="1" applyBorder="1" applyAlignment="1">
      <alignment horizontal="right" vertical="center"/>
    </xf>
    <xf numFmtId="166" fontId="31" fillId="0" borderId="3" xfId="1" applyNumberFormat="1" applyFont="1" applyFill="1" applyBorder="1" applyAlignment="1">
      <alignment horizontal="right" vertical="center"/>
    </xf>
    <xf numFmtId="165" fontId="19" fillId="5" borderId="0" xfId="26" applyNumberFormat="1" applyFont="1" applyFill="1" applyAlignment="1">
      <alignment vertical="center"/>
    </xf>
    <xf numFmtId="166" fontId="13" fillId="0" borderId="0" xfId="1" applyNumberFormat="1" applyFont="1" applyFill="1" applyBorder="1" applyAlignment="1">
      <alignment horizontal="left" vertical="center"/>
    </xf>
    <xf numFmtId="169" fontId="13" fillId="0" borderId="0" xfId="1" applyNumberFormat="1" applyFont="1" applyFill="1" applyBorder="1" applyAlignment="1">
      <alignment horizontal="right" vertical="center"/>
    </xf>
    <xf numFmtId="169" fontId="57" fillId="3" borderId="4" xfId="26" applyNumberFormat="1" applyFont="1" applyFill="1" applyBorder="1" applyAlignment="1">
      <alignment vertical="center"/>
    </xf>
    <xf numFmtId="169" fontId="19" fillId="5" borderId="0" xfId="26" applyNumberFormat="1" applyFont="1" applyFill="1" applyAlignment="1">
      <alignment vertical="center"/>
    </xf>
    <xf numFmtId="0" fontId="16" fillId="0" borderId="3" xfId="26" applyFont="1" applyBorder="1" applyAlignment="1">
      <alignment vertical="center"/>
    </xf>
    <xf numFmtId="3" fontId="16" fillId="0" borderId="3" xfId="26" applyNumberFormat="1" applyFont="1" applyBorder="1" applyAlignment="1">
      <alignment horizontal="right" vertical="center"/>
    </xf>
    <xf numFmtId="4" fontId="19" fillId="0" borderId="0" xfId="26" applyNumberFormat="1" applyFont="1" applyAlignment="1">
      <alignment horizontal="right" vertical="center"/>
    </xf>
    <xf numFmtId="2" fontId="32" fillId="2" borderId="3" xfId="26" applyNumberFormat="1" applyFont="1" applyFill="1" applyBorder="1" applyAlignment="1">
      <alignment vertical="center"/>
    </xf>
    <xf numFmtId="0" fontId="16" fillId="5" borderId="9" xfId="26" applyFont="1" applyFill="1" applyBorder="1" applyAlignment="1">
      <alignment vertical="center"/>
    </xf>
    <xf numFmtId="3" fontId="19" fillId="0" borderId="9" xfId="26" applyNumberFormat="1" applyFont="1" applyBorder="1" applyAlignment="1">
      <alignment horizontal="right" vertical="center"/>
    </xf>
    <xf numFmtId="0" fontId="22" fillId="5" borderId="0" xfId="26" applyFont="1" applyFill="1" applyAlignment="1">
      <alignment horizontal="right" vertical="center"/>
    </xf>
    <xf numFmtId="0" fontId="16" fillId="0" borderId="1" xfId="26" applyFont="1" applyBorder="1" applyAlignment="1">
      <alignment horizontal="right" vertical="center"/>
    </xf>
    <xf numFmtId="0" fontId="16" fillId="0" borderId="0" xfId="26" applyFont="1" applyAlignment="1">
      <alignment horizontal="right" vertical="center"/>
    </xf>
    <xf numFmtId="165" fontId="13" fillId="5" borderId="0" xfId="26" applyNumberFormat="1" applyFont="1" applyFill="1" applyAlignment="1">
      <alignment horizontal="right" vertical="center"/>
    </xf>
    <xf numFmtId="165" fontId="13" fillId="5" borderId="0" xfId="26" applyNumberFormat="1" applyFont="1" applyFill="1" applyAlignment="1">
      <alignment vertical="center"/>
    </xf>
    <xf numFmtId="165" fontId="13" fillId="0" borderId="0" xfId="26" applyNumberFormat="1" applyFont="1" applyAlignment="1">
      <alignment vertical="center"/>
    </xf>
    <xf numFmtId="0" fontId="58" fillId="0" borderId="0" xfId="26" applyFont="1" applyAlignment="1">
      <alignment vertical="center"/>
    </xf>
    <xf numFmtId="2" fontId="37" fillId="2" borderId="9" xfId="26" applyNumberFormat="1" applyFont="1" applyFill="1" applyBorder="1" applyAlignment="1">
      <alignment vertical="center"/>
    </xf>
    <xf numFmtId="3" fontId="52" fillId="5" borderId="0" xfId="26" applyNumberFormat="1" applyFont="1" applyFill="1" applyAlignment="1">
      <alignment vertical="center"/>
    </xf>
    <xf numFmtId="0" fontId="32" fillId="8" borderId="1" xfId="26" applyFont="1" applyFill="1" applyBorder="1" applyAlignment="1">
      <alignment vertical="center"/>
    </xf>
    <xf numFmtId="170" fontId="39" fillId="8" borderId="1" xfId="26" applyNumberFormat="1" applyFont="1" applyFill="1" applyBorder="1" applyAlignment="1">
      <alignment horizontal="right" vertical="center"/>
    </xf>
    <xf numFmtId="0" fontId="32" fillId="5" borderId="5" xfId="26" applyFont="1" applyFill="1" applyBorder="1" applyAlignment="1">
      <alignment vertical="center"/>
    </xf>
    <xf numFmtId="3" fontId="32" fillId="5" borderId="0" xfId="26" applyNumberFormat="1" applyFont="1" applyFill="1" applyAlignment="1">
      <alignment horizontal="right" vertical="center"/>
    </xf>
    <xf numFmtId="0" fontId="32" fillId="5" borderId="6" xfId="26" applyFont="1" applyFill="1" applyBorder="1" applyAlignment="1">
      <alignment vertical="center"/>
    </xf>
    <xf numFmtId="0" fontId="30" fillId="0" borderId="0" xfId="26" applyFont="1" applyAlignment="1">
      <alignment vertical="center"/>
    </xf>
    <xf numFmtId="165" fontId="19" fillId="0" borderId="0" xfId="26" applyNumberFormat="1" applyFont="1" applyAlignment="1">
      <alignment horizontal="right" vertical="center"/>
    </xf>
    <xf numFmtId="165" fontId="13" fillId="0" borderId="0" xfId="26" applyNumberFormat="1" applyFont="1" applyAlignment="1">
      <alignment horizontal="right" vertical="center"/>
    </xf>
    <xf numFmtId="1" fontId="15" fillId="5" borderId="1" xfId="1" applyNumberFormat="1" applyFont="1" applyFill="1" applyBorder="1" applyAlignment="1">
      <alignment vertical="center"/>
    </xf>
    <xf numFmtId="0" fontId="19" fillId="5" borderId="8" xfId="26" applyFont="1" applyFill="1" applyBorder="1" applyAlignment="1">
      <alignment vertical="center"/>
    </xf>
    <xf numFmtId="0" fontId="11" fillId="5" borderId="0" xfId="26" applyFont="1" applyFill="1" applyAlignment="1">
      <alignment horizontal="left" vertical="center"/>
    </xf>
    <xf numFmtId="3" fontId="32" fillId="5" borderId="6" xfId="26" applyNumberFormat="1" applyFont="1" applyFill="1" applyBorder="1" applyAlignment="1">
      <alignment horizontal="right" vertical="center"/>
    </xf>
    <xf numFmtId="166" fontId="10" fillId="0" borderId="6" xfId="1" applyNumberFormat="1" applyFont="1" applyFill="1" applyBorder="1" applyAlignment="1">
      <alignment horizontal="right" vertical="center"/>
    </xf>
    <xf numFmtId="0" fontId="48" fillId="0" borderId="0" xfId="26" applyFont="1" applyAlignment="1">
      <alignment vertical="center"/>
    </xf>
    <xf numFmtId="0" fontId="48" fillId="0" borderId="5" xfId="26" applyFont="1" applyBorder="1" applyAlignment="1">
      <alignment vertical="center"/>
    </xf>
    <xf numFmtId="9" fontId="15" fillId="0" borderId="0" xfId="2" applyFont="1" applyFill="1" applyBorder="1" applyAlignment="1">
      <alignment vertical="center"/>
    </xf>
    <xf numFmtId="165" fontId="15" fillId="5" borderId="0" xfId="2" applyNumberFormat="1" applyFont="1" applyFill="1" applyBorder="1" applyAlignment="1">
      <alignment horizontal="right" vertical="center"/>
    </xf>
    <xf numFmtId="165" fontId="28" fillId="5" borderId="6" xfId="2" applyNumberFormat="1" applyFont="1" applyFill="1" applyBorder="1" applyAlignment="1">
      <alignment horizontal="right" vertical="center"/>
    </xf>
    <xf numFmtId="37" fontId="11" fillId="0" borderId="0" xfId="26" applyNumberFormat="1" applyFont="1" applyAlignment="1">
      <alignment horizontal="right" vertical="center"/>
    </xf>
    <xf numFmtId="37" fontId="11" fillId="0" borderId="6" xfId="26" applyNumberFormat="1" applyFont="1" applyBorder="1" applyAlignment="1">
      <alignment horizontal="right" vertical="center"/>
    </xf>
    <xf numFmtId="37" fontId="11" fillId="0" borderId="1" xfId="26" applyNumberFormat="1" applyFont="1" applyBorder="1" applyAlignment="1">
      <alignment horizontal="left" vertical="center"/>
    </xf>
    <xf numFmtId="0" fontId="11" fillId="0" borderId="1" xfId="26" applyFont="1" applyBorder="1" applyAlignment="1">
      <alignment horizontal="right" vertical="center"/>
    </xf>
    <xf numFmtId="2" fontId="11" fillId="0" borderId="1" xfId="26" applyNumberFormat="1" applyFont="1" applyBorder="1" applyAlignment="1">
      <alignment vertical="center"/>
    </xf>
    <xf numFmtId="166" fontId="13" fillId="0" borderId="1" xfId="1" applyNumberFormat="1" applyFont="1" applyFill="1" applyBorder="1" applyAlignment="1">
      <alignment horizontal="right" vertical="center"/>
    </xf>
    <xf numFmtId="166" fontId="11" fillId="0" borderId="6" xfId="1" applyNumberFormat="1" applyFont="1" applyFill="1" applyBorder="1" applyAlignment="1">
      <alignment horizontal="right" vertical="center"/>
    </xf>
    <xf numFmtId="0" fontId="10" fillId="0" borderId="0" xfId="26" applyFont="1" applyAlignment="1">
      <alignment horizontal="right" vertical="center"/>
    </xf>
    <xf numFmtId="166" fontId="10" fillId="0" borderId="0" xfId="1" applyNumberFormat="1" applyFont="1" applyFill="1" applyBorder="1" applyAlignment="1">
      <alignment horizontal="right" vertical="center"/>
    </xf>
    <xf numFmtId="166" fontId="10" fillId="0" borderId="6" xfId="26" applyNumberFormat="1" applyFont="1" applyBorder="1" applyAlignment="1">
      <alignment horizontal="right" vertical="center"/>
    </xf>
    <xf numFmtId="165" fontId="15" fillId="0" borderId="0" xfId="2" applyNumberFormat="1" applyFont="1" applyFill="1" applyBorder="1" applyAlignment="1">
      <alignment horizontal="right" vertical="center"/>
    </xf>
    <xf numFmtId="165" fontId="28" fillId="0" borderId="6" xfId="2" applyNumberFormat="1" applyFont="1" applyFill="1" applyBorder="1" applyAlignment="1">
      <alignment horizontal="right" vertical="center"/>
    </xf>
    <xf numFmtId="166" fontId="10" fillId="0" borderId="3" xfId="1" applyNumberFormat="1" applyFont="1" applyFill="1" applyBorder="1" applyAlignment="1">
      <alignment horizontal="right" vertical="center"/>
    </xf>
    <xf numFmtId="0" fontId="59" fillId="0" borderId="0" xfId="26" applyFont="1" applyAlignment="1">
      <alignment vertical="center"/>
    </xf>
    <xf numFmtId="37" fontId="59" fillId="0" borderId="0" xfId="26" applyNumberFormat="1" applyFont="1" applyAlignment="1">
      <alignment horizontal="right" vertical="center"/>
    </xf>
    <xf numFmtId="37" fontId="59" fillId="0" borderId="6" xfId="26" applyNumberFormat="1" applyFont="1" applyBorder="1" applyAlignment="1">
      <alignment horizontal="right" vertical="center"/>
    </xf>
    <xf numFmtId="166" fontId="11" fillId="0" borderId="0" xfId="1" applyNumberFormat="1" applyFont="1" applyFill="1" applyBorder="1" applyAlignment="1">
      <alignment horizontal="right" vertical="center"/>
    </xf>
    <xf numFmtId="2" fontId="10" fillId="0" borderId="3" xfId="26" applyNumberFormat="1" applyFont="1" applyBorder="1" applyAlignment="1">
      <alignment vertical="center"/>
    </xf>
    <xf numFmtId="0" fontId="11" fillId="0" borderId="6" xfId="26" applyFont="1" applyBorder="1" applyAlignment="1">
      <alignment horizontal="right" vertical="center"/>
    </xf>
    <xf numFmtId="166" fontId="32" fillId="0" borderId="1" xfId="26" applyNumberFormat="1" applyFont="1" applyBorder="1" applyAlignment="1">
      <alignment horizontal="right" vertical="center"/>
    </xf>
    <xf numFmtId="0" fontId="10" fillId="0" borderId="9" xfId="26" applyFont="1" applyBorder="1" applyAlignment="1">
      <alignment vertical="center"/>
    </xf>
    <xf numFmtId="2" fontId="10" fillId="0" borderId="9" xfId="26" applyNumberFormat="1" applyFont="1" applyBorder="1" applyAlignment="1">
      <alignment vertical="center"/>
    </xf>
    <xf numFmtId="166" fontId="10" fillId="0" borderId="9" xfId="26" applyNumberFormat="1" applyFont="1" applyBorder="1" applyAlignment="1">
      <alignment horizontal="right" vertical="center"/>
    </xf>
    <xf numFmtId="9" fontId="15" fillId="0" borderId="0" xfId="2" applyFont="1" applyBorder="1" applyAlignment="1">
      <alignment vertical="center"/>
    </xf>
    <xf numFmtId="165" fontId="15" fillId="0" borderId="0" xfId="2" applyNumberFormat="1" applyFont="1" applyBorder="1" applyAlignment="1">
      <alignment horizontal="right" vertical="center"/>
    </xf>
    <xf numFmtId="165" fontId="28" fillId="0" borderId="6" xfId="2" applyNumberFormat="1" applyFont="1" applyBorder="1" applyAlignment="1">
      <alignment horizontal="right" vertical="center"/>
    </xf>
    <xf numFmtId="0" fontId="59" fillId="0" borderId="1" xfId="26" applyFont="1" applyBorder="1" applyAlignment="1">
      <alignment vertical="center"/>
    </xf>
    <xf numFmtId="166" fontId="59" fillId="0" borderId="1" xfId="26" applyNumberFormat="1" applyFont="1" applyBorder="1" applyAlignment="1">
      <alignment vertical="center"/>
    </xf>
    <xf numFmtId="166" fontId="59" fillId="0" borderId="8" xfId="26" applyNumberFormat="1" applyFont="1" applyBorder="1" applyAlignment="1">
      <alignment vertical="center"/>
    </xf>
    <xf numFmtId="0" fontId="60" fillId="0" borderId="0" xfId="26" applyFont="1" applyAlignment="1">
      <alignment vertical="center"/>
    </xf>
    <xf numFmtId="166" fontId="19" fillId="0" borderId="0" xfId="1" applyNumberFormat="1" applyFont="1" applyFill="1" applyBorder="1" applyAlignment="1">
      <alignment vertical="center"/>
    </xf>
    <xf numFmtId="2" fontId="11" fillId="5" borderId="1" xfId="26" applyNumberFormat="1" applyFont="1" applyFill="1" applyBorder="1" applyAlignment="1">
      <alignment vertical="center"/>
    </xf>
    <xf numFmtId="166" fontId="11" fillId="0" borderId="1" xfId="1" applyNumberFormat="1" applyFont="1" applyFill="1" applyBorder="1" applyAlignment="1">
      <alignment vertical="center"/>
    </xf>
    <xf numFmtId="0" fontId="10" fillId="5" borderId="9" xfId="26" applyFont="1" applyFill="1" applyBorder="1" applyAlignment="1">
      <alignment vertical="center"/>
    </xf>
    <xf numFmtId="2" fontId="10" fillId="5" borderId="9" xfId="26" applyNumberFormat="1" applyFont="1" applyFill="1" applyBorder="1" applyAlignment="1">
      <alignment vertical="center"/>
    </xf>
    <xf numFmtId="166" fontId="11" fillId="0" borderId="6" xfId="26" applyNumberFormat="1" applyFont="1" applyBorder="1" applyAlignment="1">
      <alignment vertical="center"/>
    </xf>
    <xf numFmtId="166" fontId="32" fillId="0" borderId="6" xfId="1" applyNumberFormat="1" applyFont="1" applyFill="1" applyBorder="1" applyAlignment="1">
      <alignment horizontal="right" vertical="center"/>
    </xf>
    <xf numFmtId="43" fontId="48" fillId="0" borderId="0" xfId="1" applyFont="1" applyFill="1" applyBorder="1" applyAlignment="1">
      <alignment vertical="center"/>
    </xf>
    <xf numFmtId="43" fontId="48" fillId="0" borderId="5" xfId="1" applyFont="1" applyFill="1" applyBorder="1" applyAlignment="1">
      <alignment vertical="center"/>
    </xf>
    <xf numFmtId="43" fontId="15" fillId="0" borderId="0" xfId="1" applyFont="1" applyFill="1" applyBorder="1" applyAlignment="1">
      <alignment vertical="center"/>
    </xf>
    <xf numFmtId="1" fontId="15" fillId="0" borderId="0" xfId="1" applyNumberFormat="1" applyFont="1" applyFill="1" applyBorder="1" applyAlignment="1">
      <alignment vertical="center"/>
    </xf>
    <xf numFmtId="43" fontId="15" fillId="0" borderId="6" xfId="1" applyFont="1" applyFill="1" applyBorder="1" applyAlignment="1">
      <alignment vertical="center"/>
    </xf>
    <xf numFmtId="43" fontId="48" fillId="0" borderId="0" xfId="1" applyFont="1" applyFill="1" applyAlignment="1">
      <alignment vertical="center"/>
    </xf>
    <xf numFmtId="166" fontId="11" fillId="0" borderId="1" xfId="26" applyNumberFormat="1" applyFont="1" applyBorder="1" applyAlignment="1">
      <alignment vertical="center"/>
    </xf>
    <xf numFmtId="166" fontId="11" fillId="0" borderId="8" xfId="26" applyNumberFormat="1" applyFont="1" applyBorder="1" applyAlignment="1">
      <alignment vertical="center"/>
    </xf>
    <xf numFmtId="0" fontId="16" fillId="5" borderId="5" xfId="26" applyFont="1" applyFill="1" applyBorder="1" applyAlignment="1">
      <alignment vertical="center"/>
    </xf>
    <xf numFmtId="2" fontId="10" fillId="5" borderId="0" xfId="26" applyNumberFormat="1" applyFont="1" applyFill="1" applyAlignment="1">
      <alignment vertical="center"/>
    </xf>
    <xf numFmtId="0" fontId="10" fillId="5" borderId="6" xfId="26" applyFont="1" applyFill="1" applyBorder="1" applyAlignment="1">
      <alignment vertical="center"/>
    </xf>
    <xf numFmtId="1" fontId="17" fillId="5" borderId="0" xfId="1" applyNumberFormat="1" applyFont="1" applyFill="1" applyAlignment="1">
      <alignment vertical="center"/>
    </xf>
    <xf numFmtId="170" fontId="32" fillId="5" borderId="0" xfId="26" applyNumberFormat="1" applyFont="1" applyFill="1" applyAlignment="1">
      <alignment horizontal="left" vertical="center"/>
    </xf>
    <xf numFmtId="37" fontId="11" fillId="0" borderId="0" xfId="0" applyNumberFormat="1" applyFont="1" applyAlignment="1">
      <alignment vertical="center"/>
    </xf>
    <xf numFmtId="2" fontId="10" fillId="5" borderId="3" xfId="26" applyNumberFormat="1" applyFont="1" applyFill="1" applyBorder="1" applyAlignment="1">
      <alignment vertical="center"/>
    </xf>
    <xf numFmtId="170" fontId="37" fillId="5" borderId="9" xfId="26" applyNumberFormat="1" applyFont="1" applyFill="1" applyBorder="1" applyAlignment="1">
      <alignment horizontal="left" vertical="center"/>
    </xf>
    <xf numFmtId="0" fontId="59" fillId="5" borderId="0" xfId="26" applyFont="1" applyFill="1" applyAlignment="1">
      <alignment vertical="center"/>
    </xf>
    <xf numFmtId="37" fontId="11" fillId="0" borderId="6" xfId="26" applyNumberFormat="1" applyFont="1" applyBorder="1" applyAlignment="1">
      <alignment vertical="center"/>
    </xf>
    <xf numFmtId="166" fontId="10" fillId="0" borderId="0" xfId="1" applyNumberFormat="1" applyFont="1" applyFill="1" applyBorder="1" applyAlignment="1">
      <alignment vertical="center"/>
    </xf>
    <xf numFmtId="166" fontId="10" fillId="0" borderId="6" xfId="26" applyNumberFormat="1" applyFont="1" applyBorder="1" applyAlignment="1">
      <alignment vertical="center"/>
    </xf>
    <xf numFmtId="166" fontId="13" fillId="0" borderId="1" xfId="26" applyNumberFormat="1" applyFont="1" applyBorder="1" applyAlignment="1">
      <alignment vertical="center"/>
    </xf>
    <xf numFmtId="166" fontId="10" fillId="0" borderId="9" xfId="26" applyNumberFormat="1" applyFont="1" applyBorder="1" applyAlignment="1">
      <alignment vertical="center"/>
    </xf>
    <xf numFmtId="166" fontId="15" fillId="0" borderId="0" xfId="1" applyNumberFormat="1" applyFont="1" applyFill="1" applyBorder="1" applyAlignment="1">
      <alignment vertical="center"/>
    </xf>
    <xf numFmtId="166" fontId="15" fillId="0" borderId="6" xfId="1" applyNumberFormat="1" applyFont="1" applyFill="1" applyBorder="1" applyAlignment="1">
      <alignment vertical="center"/>
    </xf>
    <xf numFmtId="0" fontId="15" fillId="0" borderId="1" xfId="26" applyFont="1" applyBorder="1" applyAlignment="1">
      <alignment vertical="center"/>
    </xf>
    <xf numFmtId="37" fontId="15" fillId="0" borderId="1" xfId="26" applyNumberFormat="1" applyFont="1" applyBorder="1" applyAlignment="1">
      <alignment vertical="center"/>
    </xf>
    <xf numFmtId="37" fontId="15" fillId="0" borderId="8" xfId="26" applyNumberFormat="1" applyFont="1" applyBorder="1" applyAlignment="1">
      <alignment vertical="center"/>
    </xf>
    <xf numFmtId="165" fontId="11" fillId="0" borderId="0" xfId="26" applyNumberFormat="1" applyFont="1" applyAlignment="1">
      <alignment horizontal="right" vertical="center"/>
    </xf>
    <xf numFmtId="1" fontId="15" fillId="0" borderId="0" xfId="1" applyNumberFormat="1" applyFont="1" applyBorder="1" applyAlignment="1">
      <alignment vertical="center"/>
    </xf>
    <xf numFmtId="165" fontId="11" fillId="5" borderId="0" xfId="26" applyNumberFormat="1" applyFont="1" applyFill="1" applyAlignment="1">
      <alignment horizontal="right" vertical="center"/>
    </xf>
    <xf numFmtId="171" fontId="11" fillId="5" borderId="0" xfId="26" applyNumberFormat="1" applyFont="1" applyFill="1" applyAlignment="1">
      <alignment horizontal="right" vertical="center"/>
    </xf>
    <xf numFmtId="169" fontId="11" fillId="5" borderId="0" xfId="26" applyNumberFormat="1" applyFont="1" applyFill="1" applyAlignment="1">
      <alignment horizontal="right" vertical="center"/>
    </xf>
    <xf numFmtId="169" fontId="11" fillId="0" borderId="0" xfId="26" applyNumberFormat="1" applyFont="1" applyAlignment="1">
      <alignment horizontal="right" vertical="center"/>
    </xf>
    <xf numFmtId="166" fontId="11" fillId="0" borderId="0" xfId="1" applyNumberFormat="1" applyFont="1" applyAlignment="1">
      <alignment horizontal="right" vertical="center"/>
    </xf>
    <xf numFmtId="0" fontId="25" fillId="0" borderId="0" xfId="26" applyFont="1" applyAlignment="1">
      <alignment vertical="center"/>
    </xf>
    <xf numFmtId="0" fontId="32" fillId="0" borderId="1" xfId="26" applyFont="1" applyBorder="1" applyAlignment="1">
      <alignment vertical="center"/>
    </xf>
    <xf numFmtId="3" fontId="19" fillId="0" borderId="1" xfId="26" applyNumberFormat="1" applyFont="1" applyBorder="1" applyAlignment="1">
      <alignment vertical="center"/>
    </xf>
    <xf numFmtId="166" fontId="11" fillId="0" borderId="1" xfId="1" applyNumberFormat="1" applyFont="1" applyFill="1" applyBorder="1" applyAlignment="1">
      <alignment horizontal="right" vertical="center"/>
    </xf>
    <xf numFmtId="3" fontId="16" fillId="0" borderId="0" xfId="26" applyNumberFormat="1" applyFont="1" applyAlignment="1">
      <alignment vertical="center"/>
    </xf>
    <xf numFmtId="0" fontId="32" fillId="0" borderId="9" xfId="26" applyFont="1" applyBorder="1" applyAlignment="1">
      <alignment vertical="center"/>
    </xf>
    <xf numFmtId="166" fontId="10" fillId="0" borderId="9" xfId="1" applyNumberFormat="1" applyFont="1" applyFill="1" applyBorder="1" applyAlignment="1">
      <alignment horizontal="right" vertical="center"/>
    </xf>
    <xf numFmtId="0" fontId="30" fillId="5" borderId="4" xfId="26" applyFont="1" applyFill="1" applyBorder="1" applyAlignment="1">
      <alignment vertical="center"/>
    </xf>
    <xf numFmtId="3" fontId="11" fillId="0" borderId="0" xfId="26" applyNumberFormat="1" applyFont="1" applyAlignment="1">
      <alignment horizontal="right" vertical="center"/>
    </xf>
    <xf numFmtId="165" fontId="11" fillId="0" borderId="0" xfId="2" applyNumberFormat="1" applyFont="1" applyFill="1" applyAlignment="1">
      <alignment horizontal="right" vertical="center"/>
    </xf>
    <xf numFmtId="4" fontId="11" fillId="0" borderId="0" xfId="26" applyNumberFormat="1" applyFont="1" applyAlignment="1">
      <alignment horizontal="right" vertical="center"/>
    </xf>
    <xf numFmtId="3" fontId="49" fillId="0" borderId="0" xfId="26" applyNumberFormat="1" applyFont="1" applyAlignment="1">
      <alignment horizontal="right" vertical="center"/>
    </xf>
    <xf numFmtId="0" fontId="34" fillId="0" borderId="0" xfId="4" applyFont="1" applyAlignment="1">
      <alignment horizontal="left" vertical="center"/>
    </xf>
    <xf numFmtId="0" fontId="48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5" fillId="4" borderId="13" xfId="0" applyFont="1" applyFill="1" applyBorder="1" applyAlignment="1">
      <alignment vertical="center"/>
    </xf>
    <xf numFmtId="0" fontId="23" fillId="6" borderId="3" xfId="0" applyFont="1" applyFill="1" applyBorder="1" applyAlignment="1">
      <alignment vertical="center"/>
    </xf>
    <xf numFmtId="0" fontId="25" fillId="4" borderId="3" xfId="0" applyFont="1" applyFill="1" applyBorder="1" applyAlignment="1">
      <alignment vertical="center"/>
    </xf>
    <xf numFmtId="168" fontId="25" fillId="4" borderId="3" xfId="0" applyNumberFormat="1" applyFont="1" applyFill="1" applyBorder="1" applyAlignment="1">
      <alignment horizontal="left" vertical="center"/>
    </xf>
    <xf numFmtId="168" fontId="25" fillId="4" borderId="3" xfId="0" applyNumberFormat="1" applyFont="1" applyFill="1" applyBorder="1" applyAlignment="1">
      <alignment vertical="center"/>
    </xf>
    <xf numFmtId="167" fontId="25" fillId="4" borderId="12" xfId="0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170" fontId="47" fillId="5" borderId="1" xfId="26" applyNumberFormat="1" applyFont="1" applyFill="1" applyBorder="1" applyAlignment="1">
      <alignment horizontal="right" vertical="center"/>
    </xf>
    <xf numFmtId="2" fontId="30" fillId="3" borderId="4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0" fontId="57" fillId="3" borderId="4" xfId="0" applyFont="1" applyFill="1" applyBorder="1" applyAlignment="1" applyProtection="1">
      <alignment horizontal="right" vertical="center"/>
      <protection locked="0"/>
    </xf>
    <xf numFmtId="2" fontId="11" fillId="0" borderId="0" xfId="0" applyNumberFormat="1" applyFont="1" applyAlignment="1">
      <alignment vertical="center"/>
    </xf>
    <xf numFmtId="166" fontId="30" fillId="3" borderId="4" xfId="1" applyNumberFormat="1" applyFont="1" applyFill="1" applyBorder="1" applyAlignment="1">
      <alignment vertical="center"/>
    </xf>
    <xf numFmtId="166" fontId="11" fillId="0" borderId="0" xfId="0" applyNumberFormat="1" applyFont="1" applyAlignment="1">
      <alignment vertical="center"/>
    </xf>
    <xf numFmtId="0" fontId="19" fillId="5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62" fillId="3" borderId="4" xfId="2" applyNumberFormat="1" applyFont="1" applyFill="1" applyBorder="1" applyAlignment="1">
      <alignment horizontal="right" vertical="center"/>
    </xf>
    <xf numFmtId="37" fontId="11" fillId="0" borderId="0" xfId="0" applyNumberFormat="1" applyFont="1" applyAlignment="1">
      <alignment horizontal="left" vertical="center"/>
    </xf>
    <xf numFmtId="1" fontId="30" fillId="3" borderId="4" xfId="1" applyNumberFormat="1" applyFont="1" applyFill="1" applyBorder="1" applyAlignment="1">
      <alignment vertical="center"/>
    </xf>
    <xf numFmtId="166" fontId="30" fillId="3" borderId="2" xfId="1" applyNumberFormat="1" applyFont="1" applyFill="1" applyBorder="1" applyAlignment="1">
      <alignment vertical="center"/>
    </xf>
    <xf numFmtId="165" fontId="30" fillId="3" borderId="4" xfId="2" applyNumberFormat="1" applyFont="1" applyFill="1" applyBorder="1" applyAlignment="1">
      <alignment horizontal="right" vertical="center"/>
    </xf>
    <xf numFmtId="37" fontId="10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2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2" fontId="11" fillId="0" borderId="6" xfId="0" applyNumberFormat="1" applyFont="1" applyBorder="1" applyAlignment="1">
      <alignment vertical="center"/>
    </xf>
    <xf numFmtId="1" fontId="30" fillId="3" borderId="4" xfId="0" applyNumberFormat="1" applyFont="1" applyFill="1" applyBorder="1" applyAlignment="1">
      <alignment vertical="center"/>
    </xf>
    <xf numFmtId="166" fontId="13" fillId="0" borderId="0" xfId="0" applyNumberFormat="1" applyFont="1" applyAlignment="1">
      <alignment vertical="center"/>
    </xf>
    <xf numFmtId="37" fontId="10" fillId="0" borderId="9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2" fontId="10" fillId="0" borderId="9" xfId="0" applyNumberFormat="1" applyFont="1" applyBorder="1" applyAlignment="1">
      <alignment vertical="center"/>
    </xf>
    <xf numFmtId="166" fontId="10" fillId="0" borderId="9" xfId="0" applyNumberFormat="1" applyFont="1" applyBorder="1" applyAlignment="1">
      <alignment vertical="center"/>
    </xf>
    <xf numFmtId="0" fontId="48" fillId="0" borderId="5" xfId="0" applyFont="1" applyBorder="1" applyAlignment="1">
      <alignment vertical="center"/>
    </xf>
    <xf numFmtId="165" fontId="30" fillId="3" borderId="4" xfId="2" applyNumberFormat="1" applyFont="1" applyFill="1" applyBorder="1" applyAlignment="1">
      <alignment vertical="center"/>
    </xf>
    <xf numFmtId="169" fontId="30" fillId="3" borderId="4" xfId="5" applyNumberFormat="1" applyFont="1" applyFill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2" fontId="11" fillId="0" borderId="9" xfId="0" applyNumberFormat="1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8" xfId="0" applyFont="1" applyBorder="1" applyAlignment="1">
      <alignment vertical="center"/>
    </xf>
    <xf numFmtId="0" fontId="23" fillId="0" borderId="0" xfId="0" applyFont="1" applyAlignment="1">
      <alignment vertical="center"/>
    </xf>
    <xf numFmtId="3" fontId="15" fillId="0" borderId="6" xfId="0" applyNumberFormat="1" applyFont="1" applyBorder="1" applyAlignment="1">
      <alignment horizontal="right" vertical="center"/>
    </xf>
    <xf numFmtId="0" fontId="46" fillId="0" borderId="1" xfId="0" applyFont="1" applyBorder="1" applyAlignment="1">
      <alignment vertical="center"/>
    </xf>
    <xf numFmtId="0" fontId="46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15" fillId="0" borderId="8" xfId="0" applyNumberFormat="1" applyFont="1" applyBorder="1" applyAlignment="1">
      <alignment horizontal="right" vertical="center"/>
    </xf>
    <xf numFmtId="0" fontId="23" fillId="6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168" fontId="25" fillId="4" borderId="0" xfId="0" applyNumberFormat="1" applyFont="1" applyFill="1" applyAlignment="1">
      <alignment horizontal="left" vertical="center"/>
    </xf>
    <xf numFmtId="165" fontId="19" fillId="0" borderId="0" xfId="0" applyNumberFormat="1" applyFont="1" applyAlignment="1">
      <alignment vertical="center"/>
    </xf>
    <xf numFmtId="2" fontId="30" fillId="3" borderId="10" xfId="0" applyNumberFormat="1" applyFont="1" applyFill="1" applyBorder="1" applyAlignment="1">
      <alignment vertical="center"/>
    </xf>
    <xf numFmtId="174" fontId="1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57" fillId="3" borderId="4" xfId="2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3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0" fontId="30" fillId="3" borderId="4" xfId="0" applyFont="1" applyFill="1" applyBorder="1" applyAlignment="1">
      <alignment horizontal="right" vertical="center"/>
    </xf>
    <xf numFmtId="3" fontId="11" fillId="0" borderId="0" xfId="1" applyNumberFormat="1" applyFont="1" applyBorder="1" applyAlignment="1">
      <alignment horizontal="left" vertical="center"/>
    </xf>
    <xf numFmtId="165" fontId="32" fillId="3" borderId="4" xfId="2" applyNumberFormat="1" applyFont="1" applyFill="1" applyBorder="1" applyAlignment="1">
      <alignment vertical="center"/>
    </xf>
    <xf numFmtId="2" fontId="19" fillId="0" borderId="0" xfId="0" applyNumberFormat="1" applyFont="1" applyAlignment="1">
      <alignment vertical="center"/>
    </xf>
    <xf numFmtId="0" fontId="48" fillId="0" borderId="1" xfId="0" applyFont="1" applyBorder="1" applyAlignment="1">
      <alignment vertical="center"/>
    </xf>
    <xf numFmtId="3" fontId="15" fillId="0" borderId="1" xfId="0" applyNumberFormat="1" applyFont="1" applyBorder="1" applyAlignment="1">
      <alignment horizontal="right" vertical="center"/>
    </xf>
    <xf numFmtId="0" fontId="24" fillId="4" borderId="0" xfId="0" applyFont="1" applyFill="1" applyAlignment="1">
      <alignment vertical="center"/>
    </xf>
    <xf numFmtId="0" fontId="39" fillId="8" borderId="13" xfId="0" applyFont="1" applyFill="1" applyBorder="1" applyAlignment="1">
      <alignment vertical="center"/>
    </xf>
    <xf numFmtId="0" fontId="39" fillId="8" borderId="3" xfId="0" applyFont="1" applyFill="1" applyBorder="1" applyAlignment="1">
      <alignment vertical="center"/>
    </xf>
    <xf numFmtId="170" fontId="39" fillId="8" borderId="3" xfId="0" applyNumberFormat="1" applyFont="1" applyFill="1" applyBorder="1" applyAlignment="1">
      <alignment horizontal="right" vertical="center"/>
    </xf>
    <xf numFmtId="0" fontId="32" fillId="8" borderId="3" xfId="0" applyFont="1" applyFill="1" applyBorder="1" applyAlignment="1">
      <alignment vertical="center"/>
    </xf>
    <xf numFmtId="170" fontId="39" fillId="8" borderId="12" xfId="0" applyNumberFormat="1" applyFont="1" applyFill="1" applyBorder="1" applyAlignment="1">
      <alignment horizontal="right" vertical="center"/>
    </xf>
    <xf numFmtId="3" fontId="32" fillId="5" borderId="0" xfId="0" applyNumberFormat="1" applyFont="1" applyFill="1" applyAlignment="1">
      <alignment horizontal="right" vertical="center"/>
    </xf>
    <xf numFmtId="0" fontId="19" fillId="5" borderId="0" xfId="0" applyFont="1" applyFill="1" applyAlignment="1">
      <alignment vertical="center"/>
    </xf>
    <xf numFmtId="0" fontId="10" fillId="5" borderId="0" xfId="0" applyFont="1" applyFill="1" applyAlignment="1">
      <alignment horizontal="left" vertical="center"/>
    </xf>
    <xf numFmtId="166" fontId="37" fillId="0" borderId="0" xfId="1" applyNumberFormat="1" applyFont="1" applyFill="1" applyBorder="1" applyAlignment="1">
      <alignment horizontal="right" vertical="center"/>
    </xf>
    <xf numFmtId="37" fontId="11" fillId="0" borderId="0" xfId="0" applyNumberFormat="1" applyFont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166" fontId="32" fillId="0" borderId="1" xfId="1" applyNumberFormat="1" applyFont="1" applyFill="1" applyBorder="1" applyAlignment="1">
      <alignment horizontal="right" vertical="center"/>
    </xf>
    <xf numFmtId="0" fontId="59" fillId="0" borderId="0" xfId="0" applyFont="1" applyAlignment="1">
      <alignment vertical="center"/>
    </xf>
    <xf numFmtId="37" fontId="59" fillId="0" borderId="0" xfId="0" applyNumberFormat="1" applyFont="1" applyAlignment="1">
      <alignment horizontal="right" vertical="center"/>
    </xf>
    <xf numFmtId="166" fontId="32" fillId="0" borderId="0" xfId="1" applyNumberFormat="1" applyFont="1" applyFill="1" applyBorder="1" applyAlignment="1">
      <alignment horizontal="right" vertical="center"/>
    </xf>
    <xf numFmtId="166" fontId="32" fillId="0" borderId="1" xfId="0" applyNumberFormat="1" applyFont="1" applyBorder="1" applyAlignment="1">
      <alignment horizontal="right" vertical="center"/>
    </xf>
    <xf numFmtId="166" fontId="37" fillId="0" borderId="9" xfId="0" applyNumberFormat="1" applyFont="1" applyBorder="1" applyAlignment="1">
      <alignment horizontal="right" vertical="center"/>
    </xf>
    <xf numFmtId="0" fontId="39" fillId="8" borderId="0" xfId="0" applyFont="1" applyFill="1" applyAlignment="1">
      <alignment vertical="center"/>
    </xf>
    <xf numFmtId="0" fontId="32" fillId="8" borderId="0" xfId="0" applyFont="1" applyFill="1" applyAlignment="1">
      <alignment vertical="center"/>
    </xf>
    <xf numFmtId="170" fontId="39" fillId="8" borderId="0" xfId="0" applyNumberFormat="1" applyFont="1" applyFill="1" applyAlignment="1">
      <alignment horizontal="right" vertical="center"/>
    </xf>
    <xf numFmtId="37" fontId="11" fillId="5" borderId="0" xfId="0" applyNumberFormat="1" applyFont="1" applyFill="1" applyAlignment="1">
      <alignment vertical="center"/>
    </xf>
    <xf numFmtId="166" fontId="11" fillId="5" borderId="0" xfId="1" applyNumberFormat="1" applyFont="1" applyFill="1" applyAlignment="1">
      <alignment vertical="center"/>
    </xf>
    <xf numFmtId="166" fontId="19" fillId="5" borderId="0" xfId="1" applyNumberFormat="1" applyFont="1" applyFill="1" applyAlignment="1">
      <alignment vertical="center"/>
    </xf>
    <xf numFmtId="0" fontId="16" fillId="5" borderId="9" xfId="0" applyFont="1" applyFill="1" applyBorder="1" applyAlignment="1">
      <alignment vertical="center"/>
    </xf>
    <xf numFmtId="0" fontId="16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166" fontId="10" fillId="0" borderId="0" xfId="0" applyNumberFormat="1" applyFont="1" applyAlignment="1">
      <alignment vertical="center"/>
    </xf>
    <xf numFmtId="0" fontId="22" fillId="5" borderId="0" xfId="0" applyFont="1" applyFill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0" xfId="2" applyNumberFormat="1" applyFont="1" applyBorder="1" applyAlignment="1">
      <alignment horizontal="right" vertical="center"/>
    </xf>
    <xf numFmtId="165" fontId="10" fillId="5" borderId="0" xfId="2" applyNumberFormat="1" applyFont="1" applyFill="1" applyBorder="1" applyAlignment="1">
      <alignment vertical="center"/>
    </xf>
    <xf numFmtId="37" fontId="11" fillId="5" borderId="0" xfId="5" applyNumberFormat="1" applyFont="1" applyFill="1" applyAlignment="1">
      <alignment horizontal="right" vertical="center"/>
    </xf>
    <xf numFmtId="2" fontId="11" fillId="5" borderId="0" xfId="0" applyNumberFormat="1" applyFont="1" applyFill="1" applyAlignment="1">
      <alignment vertical="center"/>
    </xf>
    <xf numFmtId="169" fontId="11" fillId="0" borderId="6" xfId="26" applyNumberFormat="1" applyFont="1" applyBorder="1" applyAlignment="1">
      <alignment horizontal="right" vertical="center"/>
    </xf>
    <xf numFmtId="169" fontId="11" fillId="0" borderId="0" xfId="26" applyNumberFormat="1" applyFont="1" applyAlignment="1">
      <alignment horizontal="left" vertical="center"/>
    </xf>
    <xf numFmtId="0" fontId="63" fillId="0" borderId="0" xfId="26" applyFont="1" applyAlignment="1">
      <alignment vertical="center"/>
    </xf>
    <xf numFmtId="0" fontId="61" fillId="0" borderId="0" xfId="26" applyFont="1" applyAlignment="1">
      <alignment vertical="center"/>
    </xf>
    <xf numFmtId="0" fontId="64" fillId="0" borderId="0" xfId="26" applyFont="1" applyAlignment="1">
      <alignment horizontal="left" vertical="center"/>
    </xf>
    <xf numFmtId="0" fontId="61" fillId="0" borderId="0" xfId="26" applyFont="1" applyAlignment="1">
      <alignment horizontal="left" vertical="center"/>
    </xf>
    <xf numFmtId="0" fontId="11" fillId="5" borderId="0" xfId="29" applyFill="1" applyAlignment="1">
      <alignment vertical="center"/>
    </xf>
    <xf numFmtId="0" fontId="24" fillId="4" borderId="0" xfId="29" applyFont="1" applyFill="1" applyAlignment="1">
      <alignment vertical="center"/>
    </xf>
    <xf numFmtId="0" fontId="65" fillId="4" borderId="0" xfId="26" applyFont="1" applyFill="1" applyAlignment="1">
      <alignment vertical="center"/>
    </xf>
    <xf numFmtId="0" fontId="66" fillId="4" borderId="0" xfId="29" applyFont="1" applyFill="1" applyAlignment="1">
      <alignment horizontal="left" vertical="center"/>
    </xf>
    <xf numFmtId="0" fontId="11" fillId="0" borderId="0" xfId="29" applyAlignment="1">
      <alignment vertical="center"/>
    </xf>
    <xf numFmtId="0" fontId="10" fillId="0" borderId="5" xfId="29" applyFont="1" applyBorder="1" applyAlignment="1">
      <alignment vertical="center"/>
    </xf>
    <xf numFmtId="0" fontId="10" fillId="0" borderId="0" xfId="29" applyFont="1" applyAlignment="1">
      <alignment horizontal="left" vertical="center"/>
    </xf>
    <xf numFmtId="0" fontId="10" fillId="0" borderId="0" xfId="29" applyFont="1" applyAlignment="1">
      <alignment vertical="center"/>
    </xf>
    <xf numFmtId="0" fontId="64" fillId="0" borderId="0" xfId="29" applyFont="1" applyAlignment="1">
      <alignment horizontal="left" vertical="center"/>
    </xf>
    <xf numFmtId="0" fontId="29" fillId="0" borderId="6" xfId="27" applyFont="1" applyBorder="1" applyAlignment="1">
      <alignment vertical="center"/>
    </xf>
    <xf numFmtId="0" fontId="11" fillId="0" borderId="5" xfId="29" applyBorder="1" applyAlignment="1">
      <alignment vertical="center"/>
    </xf>
    <xf numFmtId="0" fontId="11" fillId="0" borderId="0" xfId="29" applyAlignment="1">
      <alignment horizontal="left" vertical="center"/>
    </xf>
    <xf numFmtId="0" fontId="40" fillId="3" borderId="4" xfId="29" applyFont="1" applyFill="1" applyBorder="1" applyAlignment="1">
      <alignment horizontal="left" vertical="center"/>
    </xf>
    <xf numFmtId="0" fontId="57" fillId="3" borderId="4" xfId="29" applyFont="1" applyFill="1" applyBorder="1" applyAlignment="1">
      <alignment horizontal="left" vertical="center"/>
    </xf>
    <xf numFmtId="0" fontId="13" fillId="0" borderId="0" xfId="29" applyFont="1" applyAlignment="1">
      <alignment horizontal="left" vertical="center"/>
    </xf>
    <xf numFmtId="0" fontId="10" fillId="0" borderId="7" xfId="29" applyFont="1" applyBorder="1" applyAlignment="1">
      <alignment vertical="center"/>
    </xf>
    <xf numFmtId="0" fontId="10" fillId="0" borderId="1" xfId="29" applyFont="1" applyBorder="1" applyAlignment="1">
      <alignment horizontal="left" vertical="center"/>
    </xf>
    <xf numFmtId="0" fontId="11" fillId="0" borderId="1" xfId="29" applyBorder="1" applyAlignment="1">
      <alignment vertical="center"/>
    </xf>
    <xf numFmtId="0" fontId="64" fillId="0" borderId="1" xfId="29" applyFont="1" applyBorder="1" applyAlignment="1">
      <alignment horizontal="left" vertical="center"/>
    </xf>
    <xf numFmtId="0" fontId="59" fillId="0" borderId="8" xfId="27" applyFont="1" applyBorder="1" applyAlignment="1">
      <alignment vertical="center"/>
    </xf>
    <xf numFmtId="0" fontId="59" fillId="0" borderId="0" xfId="27" applyFont="1" applyBorder="1" applyAlignment="1">
      <alignment vertical="center"/>
    </xf>
    <xf numFmtId="0" fontId="67" fillId="4" borderId="0" xfId="26" applyFont="1" applyFill="1" applyAlignment="1">
      <alignment vertical="center"/>
    </xf>
    <xf numFmtId="0" fontId="25" fillId="4" borderId="0" xfId="29" applyFont="1" applyFill="1" applyAlignment="1">
      <alignment vertical="center"/>
    </xf>
    <xf numFmtId="0" fontId="28" fillId="0" borderId="0" xfId="26" applyFont="1" applyAlignment="1">
      <alignment vertical="center"/>
    </xf>
    <xf numFmtId="0" fontId="34" fillId="0" borderId="0" xfId="27" applyFont="1" applyAlignment="1">
      <alignment horizontal="left" vertical="center"/>
    </xf>
    <xf numFmtId="166" fontId="13" fillId="0" borderId="0" xfId="1" applyNumberFormat="1" applyFont="1" applyAlignment="1">
      <alignment horizontal="right" vertical="center"/>
    </xf>
    <xf numFmtId="166" fontId="19" fillId="0" borderId="0" xfId="1" applyNumberFormat="1" applyFont="1" applyAlignment="1">
      <alignment horizontal="right" vertical="center"/>
    </xf>
    <xf numFmtId="166" fontId="19" fillId="0" borderId="0" xfId="1" applyNumberFormat="1" applyFont="1" applyAlignment="1">
      <alignment vertical="center"/>
    </xf>
    <xf numFmtId="166" fontId="19" fillId="5" borderId="0" xfId="1" applyNumberFormat="1" applyFont="1" applyFill="1" applyAlignment="1">
      <alignment horizontal="right" vertical="center"/>
    </xf>
    <xf numFmtId="166" fontId="32" fillId="5" borderId="0" xfId="2" applyNumberFormat="1" applyFont="1" applyFill="1" applyAlignment="1">
      <alignment horizontal="right" vertical="center"/>
    </xf>
    <xf numFmtId="166" fontId="16" fillId="5" borderId="0" xfId="1" applyNumberFormat="1" applyFont="1" applyFill="1" applyBorder="1" applyAlignment="1">
      <alignment vertical="center"/>
    </xf>
    <xf numFmtId="166" fontId="16" fillId="0" borderId="0" xfId="1" applyNumberFormat="1" applyFont="1" applyFill="1" applyBorder="1" applyAlignment="1">
      <alignment vertical="center"/>
    </xf>
    <xf numFmtId="166" fontId="16" fillId="5" borderId="0" xfId="26" applyNumberFormat="1" applyFont="1" applyFill="1" applyAlignment="1">
      <alignment vertical="center"/>
    </xf>
    <xf numFmtId="166" fontId="16" fillId="0" borderId="0" xfId="26" applyNumberFormat="1" applyFont="1" applyAlignment="1">
      <alignment vertical="center"/>
    </xf>
    <xf numFmtId="166" fontId="19" fillId="5" borderId="0" xfId="26" applyNumberFormat="1" applyFont="1" applyFill="1" applyAlignment="1">
      <alignment vertical="center"/>
    </xf>
    <xf numFmtId="166" fontId="19" fillId="0" borderId="0" xfId="26" applyNumberFormat="1" applyFont="1" applyAlignment="1">
      <alignment vertical="center"/>
    </xf>
    <xf numFmtId="166" fontId="16" fillId="5" borderId="3" xfId="26" applyNumberFormat="1" applyFont="1" applyFill="1" applyBorder="1" applyAlignment="1">
      <alignment vertical="center"/>
    </xf>
    <xf numFmtId="166" fontId="16" fillId="0" borderId="3" xfId="26" applyNumberFormat="1" applyFont="1" applyBorder="1" applyAlignment="1">
      <alignment vertical="center"/>
    </xf>
    <xf numFmtId="166" fontId="19" fillId="0" borderId="0" xfId="1" applyNumberFormat="1" applyFont="1" applyBorder="1" applyAlignment="1">
      <alignment horizontal="right" vertical="center"/>
    </xf>
    <xf numFmtId="166" fontId="19" fillId="0" borderId="3" xfId="1" applyNumberFormat="1" applyFont="1" applyBorder="1" applyAlignment="1">
      <alignment horizontal="right" vertical="center"/>
    </xf>
    <xf numFmtId="166" fontId="16" fillId="0" borderId="9" xfId="1" applyNumberFormat="1" applyFont="1" applyBorder="1" applyAlignment="1">
      <alignment horizontal="right" vertical="center"/>
    </xf>
    <xf numFmtId="166" fontId="13" fillId="5" borderId="0" xfId="26" applyNumberFormat="1" applyFont="1" applyFill="1" applyAlignment="1">
      <alignment vertical="center"/>
    </xf>
    <xf numFmtId="0" fontId="68" fillId="0" borderId="0" xfId="4" applyFont="1" applyFill="1" applyAlignment="1">
      <alignment horizontal="left" vertical="center"/>
    </xf>
    <xf numFmtId="0" fontId="30" fillId="0" borderId="0" xfId="0" applyFont="1" applyAlignment="1">
      <alignment vertical="center"/>
    </xf>
    <xf numFmtId="0" fontId="69" fillId="5" borderId="0" xfId="4" applyFont="1" applyFill="1" applyBorder="1" applyAlignment="1">
      <alignment vertical="center"/>
    </xf>
    <xf numFmtId="0" fontId="30" fillId="0" borderId="5" xfId="26" applyFont="1" applyBorder="1" applyAlignment="1">
      <alignment vertical="center"/>
    </xf>
    <xf numFmtId="0" fontId="69" fillId="0" borderId="0" xfId="4" applyFont="1" applyBorder="1" applyAlignment="1">
      <alignment vertical="center"/>
    </xf>
    <xf numFmtId="0" fontId="30" fillId="0" borderId="7" xfId="26" applyFont="1" applyBorder="1" applyAlignment="1">
      <alignment vertical="center"/>
    </xf>
    <xf numFmtId="0" fontId="30" fillId="0" borderId="1" xfId="26" applyFont="1" applyBorder="1" applyAlignment="1">
      <alignment vertical="center"/>
    </xf>
    <xf numFmtId="0" fontId="33" fillId="5" borderId="0" xfId="26" applyFont="1" applyFill="1" applyAlignment="1">
      <alignment vertical="center"/>
    </xf>
    <xf numFmtId="0" fontId="68" fillId="5" borderId="0" xfId="4" applyFont="1" applyFill="1" applyBorder="1" applyAlignment="1">
      <alignment vertical="center"/>
    </xf>
    <xf numFmtId="0" fontId="30" fillId="5" borderId="0" xfId="26" applyFont="1" applyFill="1" applyAlignment="1">
      <alignment vertical="center"/>
    </xf>
    <xf numFmtId="3" fontId="46" fillId="5" borderId="0" xfId="26" applyNumberFormat="1" applyFont="1" applyFill="1" applyAlignment="1">
      <alignment horizontal="left" vertical="center"/>
    </xf>
    <xf numFmtId="3" fontId="46" fillId="5" borderId="6" xfId="26" applyNumberFormat="1" applyFont="1" applyFill="1" applyBorder="1" applyAlignment="1">
      <alignment horizontal="center" vertical="center"/>
    </xf>
    <xf numFmtId="3" fontId="10" fillId="0" borderId="0" xfId="26" applyNumberFormat="1" applyFont="1" applyAlignment="1">
      <alignment horizontal="right"/>
    </xf>
    <xf numFmtId="3" fontId="28" fillId="0" borderId="0" xfId="26" applyNumberFormat="1" applyFont="1" applyAlignment="1">
      <alignment horizontal="right" vertical="center"/>
    </xf>
    <xf numFmtId="3" fontId="22" fillId="0" borderId="0" xfId="26" applyNumberFormat="1" applyFont="1" applyAlignment="1">
      <alignment horizontal="right" vertical="center"/>
    </xf>
    <xf numFmtId="165" fontId="11" fillId="3" borderId="4" xfId="2" applyNumberFormat="1" applyFont="1" applyFill="1" applyBorder="1" applyAlignment="1">
      <alignment vertical="center"/>
    </xf>
    <xf numFmtId="166" fontId="19" fillId="0" borderId="0" xfId="26" applyNumberFormat="1" applyFont="1" applyAlignment="1">
      <alignment horizontal="right" vertical="center"/>
    </xf>
    <xf numFmtId="166" fontId="16" fillId="0" borderId="3" xfId="26" applyNumberFormat="1" applyFont="1" applyBorder="1" applyAlignment="1">
      <alignment horizontal="right" vertical="center"/>
    </xf>
    <xf numFmtId="166" fontId="19" fillId="0" borderId="3" xfId="26" applyNumberFormat="1" applyFont="1" applyBorder="1" applyAlignment="1">
      <alignment horizontal="right" vertical="center"/>
    </xf>
    <xf numFmtId="166" fontId="19" fillId="5" borderId="6" xfId="26" applyNumberFormat="1" applyFont="1" applyFill="1" applyBorder="1" applyAlignment="1">
      <alignment vertical="center"/>
    </xf>
    <xf numFmtId="166" fontId="52" fillId="5" borderId="0" xfId="26" applyNumberFormat="1" applyFont="1" applyFill="1" applyAlignment="1">
      <alignment vertical="center"/>
    </xf>
    <xf numFmtId="166" fontId="47" fillId="5" borderId="11" xfId="26" applyNumberFormat="1" applyFont="1" applyFill="1" applyBorder="1" applyAlignment="1">
      <alignment horizontal="right" vertical="center"/>
    </xf>
    <xf numFmtId="166" fontId="32" fillId="0" borderId="0" xfId="26" applyNumberFormat="1" applyFont="1" applyAlignment="1">
      <alignment vertical="center"/>
    </xf>
    <xf numFmtId="166" fontId="16" fillId="5" borderId="9" xfId="26" applyNumberFormat="1" applyFont="1" applyFill="1" applyBorder="1" applyAlignment="1">
      <alignment vertical="center"/>
    </xf>
    <xf numFmtId="166" fontId="19" fillId="0" borderId="0" xfId="1" applyNumberFormat="1" applyFont="1" applyBorder="1"/>
    <xf numFmtId="166" fontId="11" fillId="5" borderId="1" xfId="1" applyNumberFormat="1" applyFont="1" applyFill="1" applyBorder="1" applyAlignment="1">
      <alignment vertical="center"/>
    </xf>
    <xf numFmtId="0" fontId="16" fillId="0" borderId="6" xfId="26" applyFont="1" applyBorder="1" applyAlignment="1">
      <alignment vertical="center"/>
    </xf>
    <xf numFmtId="3" fontId="32" fillId="0" borderId="0" xfId="0" applyNumberFormat="1" applyFont="1" applyAlignment="1">
      <alignment vertical="center"/>
    </xf>
    <xf numFmtId="2" fontId="11" fillId="5" borderId="0" xfId="26" applyNumberFormat="1" applyFont="1" applyFill="1" applyAlignment="1">
      <alignment horizontal="center" vertical="center"/>
    </xf>
    <xf numFmtId="0" fontId="10" fillId="5" borderId="0" xfId="26" applyFont="1" applyFill="1" applyAlignment="1">
      <alignment horizontal="left" vertical="center" indent="2"/>
    </xf>
    <xf numFmtId="2" fontId="30" fillId="12" borderId="4" xfId="0" applyNumberFormat="1" applyFont="1" applyFill="1" applyBorder="1" applyAlignment="1">
      <alignment horizontal="right" vertical="center"/>
    </xf>
    <xf numFmtId="165" fontId="57" fillId="3" borderId="4" xfId="2" applyNumberFormat="1" applyFont="1" applyFill="1" applyBorder="1" applyAlignment="1">
      <alignment horizontal="right" vertical="center"/>
    </xf>
    <xf numFmtId="165" fontId="13" fillId="5" borderId="0" xfId="26" applyNumberFormat="1" applyFont="1" applyFill="1" applyAlignment="1">
      <alignment horizontal="left" vertical="center"/>
    </xf>
    <xf numFmtId="0" fontId="0" fillId="5" borderId="0" xfId="0" applyFill="1"/>
    <xf numFmtId="1" fontId="19" fillId="5" borderId="9" xfId="26" applyNumberFormat="1" applyFont="1" applyFill="1" applyBorder="1" applyAlignment="1">
      <alignment vertical="center"/>
    </xf>
    <xf numFmtId="0" fontId="16" fillId="0" borderId="0" xfId="26" applyFont="1" applyAlignment="1">
      <alignment horizontal="left" wrapText="1" indent="4"/>
    </xf>
    <xf numFmtId="0" fontId="70" fillId="14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165" fontId="10" fillId="0" borderId="0" xfId="2" applyNumberFormat="1" applyFont="1" applyFill="1" applyBorder="1" applyAlignment="1">
      <alignment vertical="center"/>
    </xf>
    <xf numFmtId="10" fontId="11" fillId="0" borderId="0" xfId="2" applyNumberFormat="1" applyFont="1" applyFill="1" applyBorder="1" applyAlignment="1">
      <alignment vertical="center"/>
    </xf>
    <xf numFmtId="165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65" fontId="32" fillId="0" borderId="0" xfId="2" applyNumberFormat="1" applyFont="1" applyFill="1" applyBorder="1" applyAlignment="1">
      <alignment vertical="center"/>
    </xf>
    <xf numFmtId="0" fontId="25" fillId="0" borderId="9" xfId="0" applyFont="1" applyBorder="1" applyAlignment="1">
      <alignment vertical="center"/>
    </xf>
    <xf numFmtId="165" fontId="10" fillId="0" borderId="9" xfId="0" applyNumberFormat="1" applyFont="1" applyBorder="1" applyAlignment="1">
      <alignment vertical="center"/>
    </xf>
    <xf numFmtId="0" fontId="23" fillId="6" borderId="3" xfId="0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4" fillId="0" borderId="0" xfId="4" applyFont="1" applyBorder="1" applyAlignment="1">
      <alignment horizontal="left" vertical="center"/>
    </xf>
    <xf numFmtId="0" fontId="29" fillId="0" borderId="0" xfId="4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165" fontId="10" fillId="0" borderId="3" xfId="2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71" fillId="8" borderId="0" xfId="0" applyFont="1" applyFill="1" applyAlignment="1">
      <alignment horizontal="left" vertical="center"/>
    </xf>
    <xf numFmtId="0" fontId="11" fillId="8" borderId="5" xfId="0" applyFont="1" applyFill="1" applyBorder="1" applyAlignment="1">
      <alignment vertical="center"/>
    </xf>
    <xf numFmtId="0" fontId="11" fillId="8" borderId="0" xfId="0" applyFont="1" applyFill="1" applyAlignment="1">
      <alignment horizontal="left" vertical="center"/>
    </xf>
    <xf numFmtId="0" fontId="11" fillId="8" borderId="6" xfId="0" applyFont="1" applyFill="1" applyBorder="1" applyAlignment="1">
      <alignment vertical="center"/>
    </xf>
    <xf numFmtId="168" fontId="70" fillId="13" borderId="0" xfId="1" applyNumberFormat="1" applyFont="1" applyFill="1" applyBorder="1" applyAlignment="1" applyProtection="1">
      <alignment horizontal="right" vertical="center"/>
    </xf>
    <xf numFmtId="168" fontId="70" fillId="13" borderId="6" xfId="1" applyNumberFormat="1" applyFont="1" applyFill="1" applyBorder="1" applyAlignment="1" applyProtection="1">
      <alignment horizontal="right" vertical="center"/>
    </xf>
    <xf numFmtId="0" fontId="30" fillId="3" borderId="4" xfId="0" applyFont="1" applyFill="1" applyBorder="1" applyAlignment="1">
      <alignment horizontal="left" vertical="center"/>
    </xf>
    <xf numFmtId="0" fontId="72" fillId="3" borderId="4" xfId="0" applyFont="1" applyFill="1" applyBorder="1"/>
    <xf numFmtId="0" fontId="70" fillId="14" borderId="1" xfId="0" applyFont="1" applyFill="1" applyBorder="1" applyAlignment="1">
      <alignment vertical="center"/>
    </xf>
    <xf numFmtId="14" fontId="11" fillId="0" borderId="1" xfId="26" applyNumberFormat="1" applyFont="1" applyBorder="1" applyAlignment="1">
      <alignment horizontal="right" vertical="center"/>
    </xf>
    <xf numFmtId="0" fontId="18" fillId="0" borderId="1" xfId="27" applyFont="1" applyFill="1" applyBorder="1" applyAlignment="1">
      <alignment horizontal="left" vertical="center"/>
    </xf>
    <xf numFmtId="0" fontId="19" fillId="0" borderId="1" xfId="26" applyFont="1" applyBorder="1" applyAlignment="1">
      <alignment horizontal="left" vertical="center"/>
    </xf>
    <xf numFmtId="0" fontId="20" fillId="0" borderId="1" xfId="26" applyFont="1" applyBorder="1" applyAlignment="1">
      <alignment horizontal="right" vertical="center"/>
    </xf>
    <xf numFmtId="1" fontId="24" fillId="4" borderId="0" xfId="26" applyNumberFormat="1" applyFont="1" applyFill="1" applyAlignment="1">
      <alignment vertical="center"/>
    </xf>
    <xf numFmtId="177" fontId="73" fillId="4" borderId="14" xfId="0" applyNumberFormat="1" applyFont="1" applyFill="1" applyBorder="1" applyAlignment="1">
      <alignment horizontal="right" vertical="center"/>
    </xf>
    <xf numFmtId="166" fontId="11" fillId="0" borderId="8" xfId="1" applyNumberFormat="1" applyFont="1" applyFill="1" applyBorder="1" applyAlignment="1">
      <alignment vertical="center"/>
    </xf>
    <xf numFmtId="166" fontId="13" fillId="5" borderId="6" xfId="1" applyNumberFormat="1" applyFont="1" applyFill="1" applyBorder="1" applyAlignment="1">
      <alignment vertical="center"/>
    </xf>
    <xf numFmtId="166" fontId="10" fillId="0" borderId="11" xfId="26" applyNumberFormat="1" applyFont="1" applyBorder="1" applyAlignment="1">
      <alignment vertical="center"/>
    </xf>
    <xf numFmtId="166" fontId="57" fillId="3" borderId="4" xfId="1" applyNumberFormat="1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178" fontId="72" fillId="3" borderId="4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right"/>
    </xf>
    <xf numFmtId="170" fontId="39" fillId="8" borderId="14" xfId="26" applyNumberFormat="1" applyFont="1" applyFill="1" applyBorder="1" applyAlignment="1">
      <alignment horizontal="right" vertical="center"/>
    </xf>
    <xf numFmtId="3" fontId="32" fillId="5" borderId="14" xfId="26" applyNumberFormat="1" applyFont="1" applyFill="1" applyBorder="1" applyAlignment="1">
      <alignment horizontal="right" vertical="center"/>
    </xf>
    <xf numFmtId="166" fontId="10" fillId="0" borderId="14" xfId="1" applyNumberFormat="1" applyFont="1" applyFill="1" applyBorder="1" applyAlignment="1">
      <alignment horizontal="right" vertical="center"/>
    </xf>
    <xf numFmtId="165" fontId="15" fillId="5" borderId="14" xfId="2" applyNumberFormat="1" applyFont="1" applyFill="1" applyBorder="1" applyAlignment="1">
      <alignment horizontal="right" vertical="center"/>
    </xf>
    <xf numFmtId="166" fontId="59" fillId="0" borderId="15" xfId="26" applyNumberFormat="1" applyFont="1" applyBorder="1" applyAlignment="1">
      <alignment vertical="center"/>
    </xf>
    <xf numFmtId="165" fontId="75" fillId="3" borderId="4" xfId="0" applyNumberFormat="1" applyFont="1" applyFill="1" applyBorder="1" applyAlignment="1">
      <alignment vertical="center"/>
    </xf>
    <xf numFmtId="0" fontId="70" fillId="15" borderId="0" xfId="0" applyFont="1" applyFill="1" applyAlignment="1">
      <alignment horizontal="center" vertical="center"/>
    </xf>
    <xf numFmtId="165" fontId="77" fillId="5" borderId="14" xfId="2" applyNumberFormat="1" applyFont="1" applyFill="1" applyBorder="1" applyAlignment="1" applyProtection="1">
      <alignment horizontal="right" vertical="center"/>
    </xf>
    <xf numFmtId="37" fontId="13" fillId="0" borderId="0" xfId="26" applyNumberFormat="1" applyFont="1" applyAlignment="1">
      <alignment vertical="center"/>
    </xf>
    <xf numFmtId="166" fontId="10" fillId="5" borderId="0" xfId="1" applyNumberFormat="1" applyFont="1" applyFill="1" applyBorder="1" applyAlignment="1">
      <alignment vertical="center"/>
    </xf>
    <xf numFmtId="166" fontId="37" fillId="0" borderId="6" xfId="1" applyNumberFormat="1" applyFont="1" applyFill="1" applyBorder="1" applyAlignment="1">
      <alignment horizontal="right" vertical="center"/>
    </xf>
    <xf numFmtId="2" fontId="10" fillId="0" borderId="0" xfId="0" applyNumberFormat="1" applyFont="1" applyAlignment="1">
      <alignment vertical="center"/>
    </xf>
    <xf numFmtId="0" fontId="30" fillId="3" borderId="2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left" vertical="center"/>
    </xf>
    <xf numFmtId="166" fontId="31" fillId="0" borderId="0" xfId="1" applyNumberFormat="1" applyFont="1" applyBorder="1" applyAlignment="1">
      <alignment vertical="center"/>
    </xf>
    <xf numFmtId="166" fontId="10" fillId="0" borderId="12" xfId="1" applyNumberFormat="1" applyFont="1" applyFill="1" applyBorder="1" applyAlignment="1">
      <alignment vertical="center"/>
    </xf>
    <xf numFmtId="166" fontId="31" fillId="0" borderId="6" xfId="1" applyNumberFormat="1" applyFont="1" applyFill="1" applyBorder="1" applyAlignment="1">
      <alignment horizontal="right" vertical="center"/>
    </xf>
    <xf numFmtId="165" fontId="15" fillId="5" borderId="6" xfId="2" applyNumberFormat="1" applyFont="1" applyFill="1" applyBorder="1" applyAlignment="1">
      <alignment horizontal="right" vertical="center"/>
    </xf>
    <xf numFmtId="166" fontId="13" fillId="0" borderId="8" xfId="1" applyNumberFormat="1" applyFont="1" applyFill="1" applyBorder="1" applyAlignment="1">
      <alignment horizontal="right" vertical="center"/>
    </xf>
    <xf numFmtId="165" fontId="15" fillId="0" borderId="6" xfId="2" applyNumberFormat="1" applyFont="1" applyFill="1" applyBorder="1" applyAlignment="1">
      <alignment horizontal="right" vertical="center"/>
    </xf>
    <xf numFmtId="166" fontId="13" fillId="0" borderId="6" xfId="1" applyNumberFormat="1" applyFont="1" applyFill="1" applyBorder="1" applyAlignment="1">
      <alignment horizontal="right" vertical="center"/>
    </xf>
    <xf numFmtId="166" fontId="10" fillId="0" borderId="12" xfId="1" applyNumberFormat="1" applyFont="1" applyFill="1" applyBorder="1" applyAlignment="1">
      <alignment horizontal="right" vertical="center"/>
    </xf>
    <xf numFmtId="166" fontId="32" fillId="0" borderId="8" xfId="26" applyNumberFormat="1" applyFont="1" applyBorder="1" applyAlignment="1">
      <alignment horizontal="right" vertical="center"/>
    </xf>
    <xf numFmtId="166" fontId="10" fillId="0" borderId="11" xfId="26" applyNumberFormat="1" applyFont="1" applyBorder="1" applyAlignment="1">
      <alignment horizontal="right" vertical="center"/>
    </xf>
    <xf numFmtId="165" fontId="15" fillId="0" borderId="6" xfId="2" applyNumberFormat="1" applyFont="1" applyBorder="1" applyAlignment="1">
      <alignment horizontal="right" vertical="center"/>
    </xf>
    <xf numFmtId="166" fontId="10" fillId="5" borderId="12" xfId="1" applyNumberFormat="1" applyFont="1" applyFill="1" applyBorder="1" applyAlignment="1">
      <alignment vertical="center"/>
    </xf>
    <xf numFmtId="166" fontId="10" fillId="0" borderId="11" xfId="1" applyNumberFormat="1" applyFont="1" applyFill="1" applyBorder="1" applyAlignment="1">
      <alignment vertical="center"/>
    </xf>
    <xf numFmtId="166" fontId="10" fillId="5" borderId="6" xfId="1" applyNumberFormat="1" applyFont="1" applyFill="1" applyBorder="1" applyAlignment="1">
      <alignment vertical="center"/>
    </xf>
    <xf numFmtId="1" fontId="15" fillId="0" borderId="6" xfId="1" applyNumberFormat="1" applyFont="1" applyFill="1" applyBorder="1" applyAlignment="1">
      <alignment vertical="center"/>
    </xf>
    <xf numFmtId="166" fontId="31" fillId="5" borderId="6" xfId="1" applyNumberFormat="1" applyFont="1" applyFill="1" applyBorder="1" applyAlignment="1">
      <alignment vertical="center"/>
    </xf>
    <xf numFmtId="166" fontId="10" fillId="5" borderId="11" xfId="1" applyNumberFormat="1" applyFont="1" applyFill="1" applyBorder="1" applyAlignment="1">
      <alignment vertical="center"/>
    </xf>
    <xf numFmtId="0" fontId="11" fillId="5" borderId="14" xfId="26" applyFont="1" applyFill="1" applyBorder="1" applyAlignment="1">
      <alignment vertical="center"/>
    </xf>
    <xf numFmtId="166" fontId="31" fillId="5" borderId="14" xfId="1" applyNumberFormat="1" applyFont="1" applyFill="1" applyBorder="1" applyAlignment="1">
      <alignment vertical="center"/>
    </xf>
    <xf numFmtId="166" fontId="10" fillId="5" borderId="2" xfId="1" applyNumberFormat="1" applyFont="1" applyFill="1" applyBorder="1" applyAlignment="1">
      <alignment vertical="center"/>
    </xf>
    <xf numFmtId="166" fontId="10" fillId="5" borderId="14" xfId="1" applyNumberFormat="1" applyFont="1" applyFill="1" applyBorder="1" applyAlignment="1">
      <alignment vertical="center"/>
    </xf>
    <xf numFmtId="166" fontId="11" fillId="5" borderId="14" xfId="1" applyNumberFormat="1" applyFont="1" applyFill="1" applyBorder="1" applyAlignment="1">
      <alignment vertical="center"/>
    </xf>
    <xf numFmtId="166" fontId="10" fillId="5" borderId="4" xfId="1" applyNumberFormat="1" applyFont="1" applyFill="1" applyBorder="1" applyAlignment="1">
      <alignment vertical="center"/>
    </xf>
    <xf numFmtId="166" fontId="11" fillId="0" borderId="15" xfId="26" applyNumberFormat="1" applyFont="1" applyBorder="1" applyAlignment="1">
      <alignment vertical="center"/>
    </xf>
    <xf numFmtId="166" fontId="10" fillId="5" borderId="14" xfId="1" applyNumberFormat="1" applyFont="1" applyFill="1" applyBorder="1" applyAlignment="1">
      <alignment horizontal="right" vertical="center"/>
    </xf>
    <xf numFmtId="0" fontId="19" fillId="5" borderId="14" xfId="26" applyFont="1" applyFill="1" applyBorder="1" applyAlignment="1">
      <alignment vertical="center"/>
    </xf>
    <xf numFmtId="166" fontId="11" fillId="5" borderId="14" xfId="1" applyNumberFormat="1" applyFont="1" applyFill="1" applyBorder="1" applyAlignment="1">
      <alignment horizontal="right" vertical="center"/>
    </xf>
    <xf numFmtId="166" fontId="10" fillId="5" borderId="2" xfId="1" applyNumberFormat="1" applyFont="1" applyFill="1" applyBorder="1" applyAlignment="1">
      <alignment horizontal="right" vertical="center"/>
    </xf>
    <xf numFmtId="37" fontId="59" fillId="5" borderId="14" xfId="26" applyNumberFormat="1" applyFont="1" applyFill="1" applyBorder="1" applyAlignment="1">
      <alignment horizontal="right" vertical="center"/>
    </xf>
    <xf numFmtId="0" fontId="11" fillId="5" borderId="14" xfId="26" applyFont="1" applyFill="1" applyBorder="1" applyAlignment="1">
      <alignment horizontal="right" vertical="center"/>
    </xf>
    <xf numFmtId="166" fontId="10" fillId="5" borderId="4" xfId="26" applyNumberFormat="1" applyFont="1" applyFill="1" applyBorder="1" applyAlignment="1">
      <alignment horizontal="right" vertical="center"/>
    </xf>
    <xf numFmtId="166" fontId="49" fillId="0" borderId="0" xfId="1" applyNumberFormat="1" applyFont="1" applyAlignment="1">
      <alignment horizontal="right" vertical="center"/>
    </xf>
    <xf numFmtId="166" fontId="49" fillId="0" borderId="0" xfId="26" applyNumberFormat="1" applyFont="1" applyAlignment="1">
      <alignment horizontal="right" vertical="center"/>
    </xf>
    <xf numFmtId="166" fontId="11" fillId="0" borderId="0" xfId="26" applyNumberFormat="1" applyFont="1" applyAlignment="1">
      <alignment horizontal="right" vertical="center"/>
    </xf>
    <xf numFmtId="3" fontId="11" fillId="5" borderId="0" xfId="26" applyNumberFormat="1" applyFont="1" applyFill="1" applyAlignment="1">
      <alignment horizontal="right" vertical="center"/>
    </xf>
    <xf numFmtId="165" fontId="11" fillId="5" borderId="0" xfId="2" applyNumberFormat="1" applyFont="1" applyFill="1" applyAlignment="1">
      <alignment horizontal="right" vertical="center"/>
    </xf>
    <xf numFmtId="4" fontId="11" fillId="5" borderId="0" xfId="26" applyNumberFormat="1" applyFont="1" applyFill="1" applyAlignment="1">
      <alignment horizontal="right" vertical="center"/>
    </xf>
    <xf numFmtId="3" fontId="10" fillId="5" borderId="0" xfId="26" applyNumberFormat="1" applyFont="1" applyFill="1" applyAlignment="1">
      <alignment horizontal="right"/>
    </xf>
    <xf numFmtId="3" fontId="28" fillId="5" borderId="0" xfId="26" applyNumberFormat="1" applyFont="1" applyFill="1" applyAlignment="1">
      <alignment horizontal="right" vertical="center"/>
    </xf>
    <xf numFmtId="3" fontId="49" fillId="5" borderId="0" xfId="26" applyNumberFormat="1" applyFont="1" applyFill="1" applyAlignment="1">
      <alignment horizontal="right" vertical="center"/>
    </xf>
    <xf numFmtId="0" fontId="15" fillId="0" borderId="0" xfId="1" applyNumberFormat="1" applyFont="1" applyFill="1" applyBorder="1" applyAlignment="1">
      <alignment vertical="center"/>
    </xf>
    <xf numFmtId="0" fontId="37" fillId="5" borderId="9" xfId="26" applyFont="1" applyFill="1" applyBorder="1" applyAlignment="1">
      <alignment horizontal="left" vertical="center"/>
    </xf>
    <xf numFmtId="0" fontId="34" fillId="0" borderId="0" xfId="4" applyNumberFormat="1" applyFont="1" applyAlignment="1">
      <alignment horizontal="left" vertical="center"/>
    </xf>
    <xf numFmtId="1" fontId="15" fillId="0" borderId="14" xfId="1" applyNumberFormat="1" applyFont="1" applyFill="1" applyBorder="1" applyAlignment="1">
      <alignment vertical="center"/>
    </xf>
    <xf numFmtId="1" fontId="39" fillId="8" borderId="0" xfId="26" applyNumberFormat="1" applyFont="1" applyFill="1" applyAlignment="1">
      <alignment horizontal="right" vertical="center"/>
    </xf>
    <xf numFmtId="1" fontId="15" fillId="5" borderId="0" xfId="26" applyNumberFormat="1" applyFont="1" applyFill="1" applyAlignment="1">
      <alignment vertical="center"/>
    </xf>
    <xf numFmtId="166" fontId="11" fillId="5" borderId="8" xfId="1" applyNumberFormat="1" applyFont="1" applyFill="1" applyBorder="1" applyAlignment="1">
      <alignment vertical="center"/>
    </xf>
    <xf numFmtId="166" fontId="11" fillId="5" borderId="15" xfId="1" applyNumberFormat="1" applyFont="1" applyFill="1" applyBorder="1" applyAlignment="1">
      <alignment horizontal="right" vertical="center"/>
    </xf>
    <xf numFmtId="166" fontId="13" fillId="0" borderId="0" xfId="26" applyNumberFormat="1" applyFont="1" applyAlignment="1">
      <alignment vertical="center"/>
    </xf>
    <xf numFmtId="166" fontId="57" fillId="3" borderId="11" xfId="1" applyNumberFormat="1" applyFont="1" applyFill="1" applyBorder="1" applyAlignment="1">
      <alignment vertical="center"/>
    </xf>
    <xf numFmtId="165" fontId="74" fillId="3" borderId="11" xfId="2" applyNumberFormat="1" applyFont="1" applyFill="1" applyBorder="1" applyAlignment="1">
      <alignment horizontal="right" vertical="center"/>
    </xf>
    <xf numFmtId="166" fontId="30" fillId="3" borderId="11" xfId="1" applyNumberFormat="1" applyFont="1" applyFill="1" applyBorder="1" applyAlignment="1">
      <alignment vertical="center"/>
    </xf>
    <xf numFmtId="166" fontId="10" fillId="0" borderId="12" xfId="0" applyNumberFormat="1" applyFont="1" applyBorder="1" applyAlignment="1">
      <alignment vertical="center"/>
    </xf>
    <xf numFmtId="166" fontId="10" fillId="0" borderId="11" xfId="0" applyNumberFormat="1" applyFont="1" applyBorder="1" applyAlignment="1">
      <alignment vertical="center"/>
    </xf>
    <xf numFmtId="170" fontId="47" fillId="5" borderId="8" xfId="26" applyNumberFormat="1" applyFont="1" applyFill="1" applyBorder="1" applyAlignment="1">
      <alignment horizontal="right" vertical="center"/>
    </xf>
    <xf numFmtId="166" fontId="10" fillId="0" borderId="11" xfId="1" applyNumberFormat="1" applyFont="1" applyBorder="1" applyAlignment="1">
      <alignment vertical="center"/>
    </xf>
    <xf numFmtId="166" fontId="11" fillId="0" borderId="6" xfId="0" applyNumberFormat="1" applyFont="1" applyBorder="1" applyAlignment="1">
      <alignment vertical="center"/>
    </xf>
    <xf numFmtId="43" fontId="15" fillId="0" borderId="0" xfId="1" applyFont="1" applyBorder="1" applyAlignment="1">
      <alignment horizontal="right" vertical="center"/>
    </xf>
    <xf numFmtId="166" fontId="31" fillId="0" borderId="9" xfId="26" applyNumberFormat="1" applyFont="1" applyBorder="1" applyAlignment="1">
      <alignment vertical="center"/>
    </xf>
    <xf numFmtId="1" fontId="39" fillId="8" borderId="6" xfId="26" applyNumberFormat="1" applyFont="1" applyFill="1" applyBorder="1" applyAlignment="1">
      <alignment horizontal="right" vertical="center"/>
    </xf>
    <xf numFmtId="165" fontId="11" fillId="5" borderId="6" xfId="26" applyNumberFormat="1" applyFont="1" applyFill="1" applyBorder="1" applyAlignment="1">
      <alignment horizontal="right" vertical="center"/>
    </xf>
    <xf numFmtId="171" fontId="11" fillId="5" borderId="6" xfId="26" applyNumberFormat="1" applyFont="1" applyFill="1" applyBorder="1" applyAlignment="1">
      <alignment horizontal="left" vertical="center"/>
    </xf>
    <xf numFmtId="169" fontId="11" fillId="5" borderId="6" xfId="26" applyNumberFormat="1" applyFont="1" applyFill="1" applyBorder="1" applyAlignment="1">
      <alignment horizontal="right" vertical="center"/>
    </xf>
    <xf numFmtId="165" fontId="11" fillId="0" borderId="6" xfId="26" applyNumberFormat="1" applyFont="1" applyBorder="1" applyAlignment="1">
      <alignment horizontal="right" vertical="center"/>
    </xf>
    <xf numFmtId="166" fontId="11" fillId="0" borderId="6" xfId="1" applyNumberFormat="1" applyFont="1" applyBorder="1" applyAlignment="1">
      <alignment horizontal="right" vertical="center"/>
    </xf>
    <xf numFmtId="0" fontId="25" fillId="0" borderId="6" xfId="26" applyFont="1" applyBorder="1" applyAlignment="1">
      <alignment vertical="center"/>
    </xf>
    <xf numFmtId="166" fontId="11" fillId="0" borderId="8" xfId="1" applyNumberFormat="1" applyFont="1" applyFill="1" applyBorder="1" applyAlignment="1">
      <alignment horizontal="right" vertical="center"/>
    </xf>
    <xf numFmtId="166" fontId="10" fillId="0" borderId="11" xfId="1" applyNumberFormat="1" applyFont="1" applyFill="1" applyBorder="1" applyAlignment="1">
      <alignment horizontal="right" vertical="center"/>
    </xf>
    <xf numFmtId="0" fontId="11" fillId="0" borderId="3" xfId="26" applyFont="1" applyBorder="1" applyAlignment="1">
      <alignment vertical="center"/>
    </xf>
    <xf numFmtId="37" fontId="11" fillId="0" borderId="3" xfId="26" applyNumberFormat="1" applyFont="1" applyBorder="1" applyAlignment="1">
      <alignment vertical="center"/>
    </xf>
    <xf numFmtId="37" fontId="11" fillId="0" borderId="12" xfId="26" applyNumberFormat="1" applyFont="1" applyBorder="1" applyAlignment="1">
      <alignment vertical="center"/>
    </xf>
    <xf numFmtId="170" fontId="39" fillId="5" borderId="1" xfId="26" applyNumberFormat="1" applyFont="1" applyFill="1" applyBorder="1" applyAlignment="1">
      <alignment horizontal="left" vertical="center"/>
    </xf>
    <xf numFmtId="170" fontId="32" fillId="5" borderId="1" xfId="26" applyNumberFormat="1" applyFont="1" applyFill="1" applyBorder="1" applyAlignment="1">
      <alignment horizontal="left" vertical="center"/>
    </xf>
    <xf numFmtId="166" fontId="13" fillId="5" borderId="14" xfId="1" applyNumberFormat="1" applyFont="1" applyFill="1" applyBorder="1" applyAlignment="1">
      <alignment vertical="center"/>
    </xf>
    <xf numFmtId="166" fontId="11" fillId="0" borderId="14" xfId="1" applyNumberFormat="1" applyFont="1" applyFill="1" applyBorder="1" applyAlignment="1">
      <alignment vertical="center"/>
    </xf>
    <xf numFmtId="166" fontId="11" fillId="0" borderId="15" xfId="1" applyNumberFormat="1" applyFont="1" applyFill="1" applyBorder="1" applyAlignment="1">
      <alignment vertical="center"/>
    </xf>
    <xf numFmtId="166" fontId="10" fillId="0" borderId="4" xfId="1" applyNumberFormat="1" applyFont="1" applyFill="1" applyBorder="1" applyAlignment="1">
      <alignment vertical="center"/>
    </xf>
    <xf numFmtId="166" fontId="11" fillId="0" borderId="14" xfId="26" applyNumberFormat="1" applyFont="1" applyBorder="1" applyAlignment="1">
      <alignment vertical="center"/>
    </xf>
    <xf numFmtId="166" fontId="10" fillId="0" borderId="14" xfId="1" applyNumberFormat="1" applyFont="1" applyFill="1" applyBorder="1" applyAlignment="1">
      <alignment vertical="center"/>
    </xf>
    <xf numFmtId="166" fontId="11" fillId="5" borderId="0" xfId="1" applyNumberFormat="1" applyFont="1" applyFill="1" applyBorder="1" applyAlignment="1">
      <alignment horizontal="right" vertical="center"/>
    </xf>
    <xf numFmtId="166" fontId="11" fillId="5" borderId="6" xfId="1" applyNumberFormat="1" applyFont="1" applyFill="1" applyBorder="1" applyAlignment="1">
      <alignment horizontal="right" vertical="center"/>
    </xf>
    <xf numFmtId="165" fontId="13" fillId="5" borderId="4" xfId="2" applyNumberFormat="1" applyFont="1" applyFill="1" applyBorder="1" applyAlignment="1">
      <alignment vertical="center"/>
    </xf>
    <xf numFmtId="166" fontId="11" fillId="5" borderId="1" xfId="1" applyNumberFormat="1" applyFont="1" applyFill="1" applyBorder="1" applyAlignment="1">
      <alignment horizontal="right" vertical="center"/>
    </xf>
    <xf numFmtId="166" fontId="10" fillId="5" borderId="3" xfId="1" applyNumberFormat="1" applyFont="1" applyFill="1" applyBorder="1" applyAlignment="1">
      <alignment horizontal="right" vertical="center"/>
    </xf>
    <xf numFmtId="166" fontId="10" fillId="5" borderId="12" xfId="1" applyNumberFormat="1" applyFont="1" applyFill="1" applyBorder="1" applyAlignment="1">
      <alignment horizontal="right" vertical="center"/>
    </xf>
    <xf numFmtId="166" fontId="10" fillId="5" borderId="0" xfId="1" applyNumberFormat="1" applyFont="1" applyFill="1" applyBorder="1" applyAlignment="1">
      <alignment horizontal="right" vertical="center"/>
    </xf>
    <xf numFmtId="43" fontId="48" fillId="5" borderId="0" xfId="1" applyFont="1" applyFill="1" applyBorder="1" applyAlignment="1">
      <alignment vertical="center"/>
    </xf>
    <xf numFmtId="43" fontId="48" fillId="5" borderId="5" xfId="1" applyFont="1" applyFill="1" applyBorder="1" applyAlignment="1">
      <alignment vertical="center"/>
    </xf>
    <xf numFmtId="0" fontId="15" fillId="5" borderId="0" xfId="1" applyNumberFormat="1" applyFont="1" applyFill="1" applyBorder="1" applyAlignment="1">
      <alignment vertical="center"/>
    </xf>
    <xf numFmtId="43" fontId="15" fillId="5" borderId="0" xfId="1" applyFont="1" applyFill="1" applyBorder="1" applyAlignment="1">
      <alignment vertical="center"/>
    </xf>
    <xf numFmtId="1" fontId="15" fillId="5" borderId="6" xfId="1" applyNumberFormat="1" applyFont="1" applyFill="1" applyBorder="1" applyAlignment="1">
      <alignment vertical="center"/>
    </xf>
    <xf numFmtId="43" fontId="15" fillId="5" borderId="6" xfId="1" applyFont="1" applyFill="1" applyBorder="1" applyAlignment="1">
      <alignment vertical="center"/>
    </xf>
    <xf numFmtId="43" fontId="48" fillId="5" borderId="0" xfId="1" applyFont="1" applyFill="1" applyAlignment="1">
      <alignment vertical="center"/>
    </xf>
    <xf numFmtId="166" fontId="11" fillId="5" borderId="6" xfId="26" applyNumberFormat="1" applyFont="1" applyFill="1" applyBorder="1" applyAlignment="1">
      <alignment vertical="center"/>
    </xf>
    <xf numFmtId="37" fontId="11" fillId="5" borderId="14" xfId="26" applyNumberFormat="1" applyFont="1" applyFill="1" applyBorder="1" applyAlignment="1">
      <alignment vertical="center"/>
    </xf>
    <xf numFmtId="37" fontId="11" fillId="0" borderId="14" xfId="26" applyNumberFormat="1" applyFont="1" applyBorder="1" applyAlignment="1">
      <alignment vertical="center"/>
    </xf>
    <xf numFmtId="166" fontId="11" fillId="5" borderId="14" xfId="26" applyNumberFormat="1" applyFont="1" applyFill="1" applyBorder="1" applyAlignment="1">
      <alignment vertical="center"/>
    </xf>
    <xf numFmtId="166" fontId="10" fillId="5" borderId="2" xfId="26" applyNumberFormat="1" applyFont="1" applyFill="1" applyBorder="1" applyAlignment="1">
      <alignment vertical="center"/>
    </xf>
    <xf numFmtId="166" fontId="10" fillId="5" borderId="14" xfId="26" applyNumberFormat="1" applyFont="1" applyFill="1" applyBorder="1" applyAlignment="1">
      <alignment vertical="center"/>
    </xf>
    <xf numFmtId="166" fontId="11" fillId="5" borderId="15" xfId="26" applyNumberFormat="1" applyFont="1" applyFill="1" applyBorder="1" applyAlignment="1">
      <alignment vertical="center"/>
    </xf>
    <xf numFmtId="166" fontId="10" fillId="5" borderId="4" xfId="26" applyNumberFormat="1" applyFont="1" applyFill="1" applyBorder="1" applyAlignment="1">
      <alignment vertical="center"/>
    </xf>
    <xf numFmtId="1" fontId="15" fillId="5" borderId="14" xfId="1" applyNumberFormat="1" applyFont="1" applyFill="1" applyBorder="1" applyAlignment="1">
      <alignment vertical="center"/>
    </xf>
    <xf numFmtId="37" fontId="15" fillId="5" borderId="15" xfId="26" applyNumberFormat="1" applyFont="1" applyFill="1" applyBorder="1" applyAlignment="1">
      <alignment vertical="center"/>
    </xf>
    <xf numFmtId="166" fontId="13" fillId="5" borderId="0" xfId="1" applyNumberFormat="1" applyFont="1" applyFill="1" applyBorder="1" applyAlignment="1">
      <alignment horizontal="right" vertical="center"/>
    </xf>
    <xf numFmtId="166" fontId="13" fillId="5" borderId="6" xfId="1" applyNumberFormat="1" applyFont="1" applyFill="1" applyBorder="1" applyAlignment="1">
      <alignment horizontal="right" vertical="center"/>
    </xf>
    <xf numFmtId="166" fontId="32" fillId="5" borderId="6" xfId="1" applyNumberFormat="1" applyFont="1" applyFill="1" applyBorder="1" applyAlignment="1">
      <alignment horizontal="right" vertical="center"/>
    </xf>
    <xf numFmtId="1" fontId="39" fillId="8" borderId="14" xfId="26" applyNumberFormat="1" applyFont="1" applyFill="1" applyBorder="1" applyAlignment="1">
      <alignment horizontal="right" vertical="center"/>
    </xf>
    <xf numFmtId="165" fontId="11" fillId="5" borderId="14" xfId="26" applyNumberFormat="1" applyFont="1" applyFill="1" applyBorder="1" applyAlignment="1">
      <alignment horizontal="right" vertical="center"/>
    </xf>
    <xf numFmtId="171" fontId="11" fillId="5" borderId="14" xfId="26" applyNumberFormat="1" applyFont="1" applyFill="1" applyBorder="1" applyAlignment="1">
      <alignment horizontal="right" vertical="center"/>
    </xf>
    <xf numFmtId="169" fontId="11" fillId="5" borderId="14" xfId="26" applyNumberFormat="1" applyFont="1" applyFill="1" applyBorder="1" applyAlignment="1">
      <alignment horizontal="right" vertical="center"/>
    </xf>
    <xf numFmtId="169" fontId="11" fillId="0" borderId="14" xfId="26" applyNumberFormat="1" applyFont="1" applyBorder="1" applyAlignment="1">
      <alignment horizontal="right" vertical="center"/>
    </xf>
    <xf numFmtId="165" fontId="11" fillId="0" borderId="14" xfId="26" applyNumberFormat="1" applyFont="1" applyBorder="1" applyAlignment="1">
      <alignment horizontal="right" vertical="center"/>
    </xf>
    <xf numFmtId="166" fontId="11" fillId="0" borderId="14" xfId="1" applyNumberFormat="1" applyFont="1" applyBorder="1" applyAlignment="1">
      <alignment horizontal="right" vertical="center"/>
    </xf>
    <xf numFmtId="37" fontId="11" fillId="0" borderId="2" xfId="26" applyNumberFormat="1" applyFont="1" applyBorder="1" applyAlignment="1">
      <alignment vertical="center"/>
    </xf>
    <xf numFmtId="0" fontId="25" fillId="0" borderId="14" xfId="26" applyFont="1" applyBorder="1" applyAlignment="1">
      <alignment vertical="center"/>
    </xf>
    <xf numFmtId="166" fontId="11" fillId="0" borderId="14" xfId="1" applyNumberFormat="1" applyFont="1" applyFill="1" applyBorder="1" applyAlignment="1">
      <alignment horizontal="right" vertical="center"/>
    </xf>
    <xf numFmtId="166" fontId="11" fillId="0" borderId="15" xfId="1" applyNumberFormat="1" applyFont="1" applyFill="1" applyBorder="1" applyAlignment="1">
      <alignment horizontal="right" vertical="center"/>
    </xf>
    <xf numFmtId="166" fontId="10" fillId="0" borderId="4" xfId="1" applyNumberFormat="1" applyFont="1" applyFill="1" applyBorder="1" applyAlignment="1">
      <alignment horizontal="right" vertical="center"/>
    </xf>
    <xf numFmtId="0" fontId="11" fillId="0" borderId="15" xfId="26" applyFont="1" applyBorder="1" applyAlignment="1">
      <alignment vertical="center"/>
    </xf>
    <xf numFmtId="3" fontId="11" fillId="5" borderId="6" xfId="26" applyNumberFormat="1" applyFont="1" applyFill="1" applyBorder="1" applyAlignment="1">
      <alignment vertical="center"/>
    </xf>
    <xf numFmtId="3" fontId="11" fillId="0" borderId="6" xfId="26" applyNumberFormat="1" applyFont="1" applyBorder="1" applyAlignment="1">
      <alignment horizontal="right" vertical="center"/>
    </xf>
    <xf numFmtId="4" fontId="11" fillId="0" borderId="6" xfId="26" applyNumberFormat="1" applyFont="1" applyBorder="1" applyAlignment="1">
      <alignment horizontal="right" vertical="center"/>
    </xf>
    <xf numFmtId="177" fontId="73" fillId="4" borderId="0" xfId="0" applyNumberFormat="1" applyFont="1" applyFill="1" applyAlignment="1">
      <alignment horizontal="right" vertical="center"/>
    </xf>
    <xf numFmtId="166" fontId="37" fillId="5" borderId="1" xfId="1" applyNumberFormat="1" applyFont="1" applyFill="1" applyBorder="1" applyAlignment="1">
      <alignment vertical="center"/>
    </xf>
    <xf numFmtId="179" fontId="78" fillId="9" borderId="0" xfId="26" applyNumberFormat="1" applyFont="1" applyFill="1" applyAlignment="1">
      <alignment horizontal="right" vertical="center"/>
    </xf>
    <xf numFmtId="179" fontId="26" fillId="5" borderId="1" xfId="26" applyNumberFormat="1" applyFont="1" applyFill="1" applyBorder="1" applyAlignment="1">
      <alignment horizontal="right" vertical="center"/>
    </xf>
    <xf numFmtId="0" fontId="79" fillId="5" borderId="0" xfId="29" applyFont="1" applyFill="1" applyAlignment="1">
      <alignment vertical="center"/>
    </xf>
    <xf numFmtId="0" fontId="1" fillId="0" borderId="0" xfId="0" applyFont="1" applyAlignment="1">
      <alignment vertical="center"/>
    </xf>
    <xf numFmtId="0" fontId="71" fillId="0" borderId="0" xfId="29" quotePrefix="1" applyFont="1" applyAlignment="1">
      <alignment vertical="center"/>
    </xf>
    <xf numFmtId="0" fontId="71" fillId="0" borderId="0" xfId="29" quotePrefix="1" applyFont="1" applyAlignment="1">
      <alignment horizontal="left" vertical="center" indent="4"/>
    </xf>
    <xf numFmtId="2" fontId="39" fillId="5" borderId="0" xfId="26" applyNumberFormat="1" applyFont="1" applyFill="1" applyAlignment="1">
      <alignment horizontal="left" vertical="center"/>
    </xf>
    <xf numFmtId="0" fontId="22" fillId="8" borderId="5" xfId="26" applyFont="1" applyFill="1" applyBorder="1" applyAlignment="1">
      <alignment vertical="center"/>
    </xf>
    <xf numFmtId="0" fontId="48" fillId="5" borderId="0" xfId="0" applyFont="1" applyFill="1" applyAlignment="1">
      <alignment horizontal="right" vertical="center"/>
    </xf>
    <xf numFmtId="3" fontId="48" fillId="5" borderId="4" xfId="0" applyNumberFormat="1" applyFont="1" applyFill="1" applyBorder="1" applyAlignment="1">
      <alignment vertical="center"/>
    </xf>
    <xf numFmtId="0" fontId="48" fillId="5" borderId="0" xfId="0" applyFont="1" applyFill="1" applyAlignment="1">
      <alignment vertical="center"/>
    </xf>
    <xf numFmtId="1" fontId="15" fillId="5" borderId="0" xfId="0" applyNumberFormat="1" applyFont="1" applyFill="1" applyAlignment="1">
      <alignment vertical="center"/>
    </xf>
    <xf numFmtId="37" fontId="15" fillId="5" borderId="0" xfId="0" applyNumberFormat="1" applyFont="1" applyFill="1" applyAlignment="1">
      <alignment vertical="center"/>
    </xf>
    <xf numFmtId="1" fontId="15" fillId="5" borderId="0" xfId="1" applyNumberFormat="1" applyFont="1" applyFill="1" applyAlignment="1">
      <alignment horizontal="right" vertical="center"/>
    </xf>
    <xf numFmtId="1" fontId="15" fillId="5" borderId="4" xfId="1" applyNumberFormat="1" applyFont="1" applyFill="1" applyBorder="1" applyAlignment="1">
      <alignment horizontal="right" vertical="center"/>
    </xf>
    <xf numFmtId="1" fontId="15" fillId="5" borderId="0" xfId="1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vertical="center"/>
    </xf>
    <xf numFmtId="3" fontId="28" fillId="0" borderId="0" xfId="0" applyNumberFormat="1" applyFont="1" applyAlignment="1">
      <alignment vertical="center"/>
    </xf>
    <xf numFmtId="166" fontId="28" fillId="0" borderId="0" xfId="1" applyNumberFormat="1" applyFont="1" applyFill="1" applyBorder="1" applyAlignment="1">
      <alignment vertical="center"/>
    </xf>
    <xf numFmtId="165" fontId="28" fillId="0" borderId="0" xfId="2" applyNumberFormat="1" applyFont="1" applyFill="1" applyBorder="1" applyAlignment="1">
      <alignment vertical="center"/>
    </xf>
    <xf numFmtId="167" fontId="24" fillId="4" borderId="0" xfId="26" applyNumberFormat="1" applyFont="1" applyFill="1" applyAlignment="1">
      <alignment vertical="center"/>
    </xf>
    <xf numFmtId="167" fontId="24" fillId="4" borderId="0" xfId="0" applyNumberFormat="1" applyFont="1" applyFill="1" applyAlignment="1">
      <alignment vertical="center"/>
    </xf>
    <xf numFmtId="0" fontId="33" fillId="3" borderId="10" xfId="0" applyFont="1" applyFill="1" applyBorder="1" applyAlignment="1">
      <alignment horizontal="left" vertical="center"/>
    </xf>
    <xf numFmtId="0" fontId="33" fillId="3" borderId="9" xfId="0" applyFont="1" applyFill="1" applyBorder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75" fillId="3" borderId="10" xfId="0" applyFont="1" applyFill="1" applyBorder="1" applyAlignment="1">
      <alignment horizontal="right" vertical="center"/>
    </xf>
    <xf numFmtId="0" fontId="75" fillId="3" borderId="9" xfId="0" applyFont="1" applyFill="1" applyBorder="1" applyAlignment="1">
      <alignment horizontal="right" vertical="center"/>
    </xf>
    <xf numFmtId="0" fontId="75" fillId="3" borderId="11" xfId="0" applyFont="1" applyFill="1" applyBorder="1" applyAlignment="1">
      <alignment horizontal="right" vertical="center"/>
    </xf>
    <xf numFmtId="0" fontId="16" fillId="0" borderId="0" xfId="26" applyFont="1" applyAlignment="1">
      <alignment horizontal="left" wrapText="1" indent="4"/>
    </xf>
    <xf numFmtId="2" fontId="33" fillId="12" borderId="10" xfId="0" applyNumberFormat="1" applyFont="1" applyFill="1" applyBorder="1" applyAlignment="1">
      <alignment horizontal="center" vertical="center"/>
    </xf>
    <xf numFmtId="2" fontId="33" fillId="12" borderId="11" xfId="0" applyNumberFormat="1" applyFont="1" applyFill="1" applyBorder="1" applyAlignment="1">
      <alignment horizontal="center" vertical="center"/>
    </xf>
    <xf numFmtId="0" fontId="19" fillId="0" borderId="0" xfId="3" applyFont="1" applyBorder="1" applyAlignment="1">
      <alignment vertical="center"/>
    </xf>
    <xf numFmtId="0" fontId="80" fillId="0" borderId="17" xfId="0" applyFont="1" applyBorder="1" applyAlignment="1">
      <alignment horizontal="center" vertical="center"/>
    </xf>
    <xf numFmtId="0" fontId="80" fillId="0" borderId="18" xfId="0" applyFont="1" applyBorder="1" applyAlignment="1">
      <alignment horizontal="center" vertical="center"/>
    </xf>
    <xf numFmtId="0" fontId="81" fillId="0" borderId="16" xfId="0" applyFont="1" applyBorder="1" applyAlignment="1">
      <alignment horizontal="center"/>
    </xf>
    <xf numFmtId="0" fontId="76" fillId="0" borderId="19" xfId="3" applyFont="1" applyBorder="1" applyAlignment="1">
      <alignment horizontal="center" vertical="center" wrapText="1"/>
    </xf>
    <xf numFmtId="0" fontId="40" fillId="0" borderId="19" xfId="3" applyFont="1" applyBorder="1" applyAlignment="1">
      <alignment vertical="center"/>
    </xf>
    <xf numFmtId="0" fontId="37" fillId="0" borderId="19" xfId="3" applyFont="1" applyBorder="1" applyAlignment="1">
      <alignment horizontal="center" vertical="center"/>
    </xf>
    <xf numFmtId="0" fontId="68" fillId="0" borderId="19" xfId="4" applyFont="1" applyFill="1" applyBorder="1" applyAlignment="1">
      <alignment horizontal="center" vertical="center"/>
    </xf>
    <xf numFmtId="0" fontId="19" fillId="0" borderId="18" xfId="3" applyFont="1" applyBorder="1" applyAlignment="1">
      <alignment vertical="center"/>
    </xf>
  </cellXfs>
  <cellStyles count="30">
    <cellStyle name="Comma" xfId="1" builtinId="3"/>
    <cellStyle name="Comma 4" xfId="28" xr:uid="{F0FD25CD-542D-438A-9815-C206C29B854B}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Hyperlink" xfId="4" builtinId="8" customBuiltin="1"/>
    <cellStyle name="Hyperlink 2" xfId="27" xr:uid="{0E698A21-A42D-4031-8D8C-DF1C6EC6A9DC}"/>
    <cellStyle name="Normal" xfId="0" builtinId="0" customBuiltin="1"/>
    <cellStyle name="Normal 2" xfId="5" xr:uid="{00000000-0005-0000-0000-000017000000}"/>
    <cellStyle name="Normal 3" xfId="26" xr:uid="{A58F1862-45A7-4C2F-A27A-F7DCAFF0374E}"/>
    <cellStyle name="Normal 3 2" xfId="29" xr:uid="{49364307-70D8-4DC8-8039-062C88CDB343}"/>
    <cellStyle name="Percent" xfId="2" builtinId="5"/>
    <cellStyle name="Standard 2" xfId="3" xr:uid="{00000000-0005-0000-0000-000019000000}"/>
  </cellStyles>
  <dxfs count="0"/>
  <tableStyles count="0" defaultTableStyle="TableStyleMedium9" defaultPivotStyle="PivotStyleMedium4"/>
  <colors>
    <mruColors>
      <color rgb="FF98C51E"/>
      <color rgb="FF268C70"/>
      <color rgb="FF004DD6"/>
      <color rgb="FF008F6E"/>
      <color rgb="FF094A51"/>
      <color rgb="FF878380"/>
      <color rgb="FF3AAE65"/>
      <color rgb="FF217B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44623094281263"/>
          <c:y val="3.1161819352960619E-2"/>
          <c:w val="0.60786711921871572"/>
          <c:h val="0.833643201148976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Summary'!$N$86</c:f>
              <c:strCache>
                <c:ptCount val="1"/>
                <c:pt idx="0">
                  <c:v>PV of Terminal Value</c:v>
                </c:pt>
              </c:strCache>
            </c:strRef>
          </c:tx>
          <c:spPr>
            <a:solidFill>
              <a:srgbClr val="268C70"/>
            </a:solidFill>
            <a:ln>
              <a:noFill/>
            </a:ln>
            <a:effectLst/>
          </c:spPr>
          <c:invertIfNegative val="0"/>
          <c:cat>
            <c:strRef>
              <c:f>'Executive Summary'!$N$88</c:f>
              <c:strCache>
                <c:ptCount val="1"/>
                <c:pt idx="0">
                  <c:v>Enterprise Value</c:v>
                </c:pt>
              </c:strCache>
            </c:strRef>
          </c:cat>
          <c:val>
            <c:numRef>
              <c:f>'Executive Summary'!$Q$86</c:f>
              <c:numCache>
                <c:formatCode>_(* #,##0_);_(* \(#,##0\);_(* "-"??_);_(@_)</c:formatCode>
                <c:ptCount val="1"/>
                <c:pt idx="0">
                  <c:v>2862260.6540770489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83-4EB2-91E2-5E3B81B6184A}"/>
            </c:ext>
          </c:extLst>
        </c:ser>
        <c:ser>
          <c:idx val="1"/>
          <c:order val="1"/>
          <c:tx>
            <c:strRef>
              <c:f>'Executive Summary'!$N$87</c:f>
              <c:strCache>
                <c:ptCount val="1"/>
                <c:pt idx="0">
                  <c:v>PV of Forecast Period</c:v>
                </c:pt>
              </c:strCache>
            </c:strRef>
          </c:tx>
          <c:spPr>
            <a:solidFill>
              <a:srgbClr val="98C51E"/>
            </a:solidFill>
            <a:ln>
              <a:noFill/>
            </a:ln>
            <a:effectLst/>
          </c:spPr>
          <c:invertIfNegative val="0"/>
          <c:cat>
            <c:strRef>
              <c:f>'Executive Summary'!$N$88</c:f>
              <c:strCache>
                <c:ptCount val="1"/>
                <c:pt idx="0">
                  <c:v>Enterprise Value</c:v>
                </c:pt>
              </c:strCache>
            </c:strRef>
          </c:cat>
          <c:val>
            <c:numRef>
              <c:f>'Executive Summary'!$Q$87</c:f>
              <c:numCache>
                <c:formatCode>_(* #,##0_);_(* \(#,##0\);_(* "-"??_);_(@_)</c:formatCode>
                <c:ptCount val="1"/>
                <c:pt idx="0">
                  <c:v>3610914.4632768654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83-4EB2-91E2-5E3B81B61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100"/>
        <c:axId val="840913567"/>
        <c:axId val="1873367567"/>
      </c:barChart>
      <c:catAx>
        <c:axId val="840913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73367567"/>
        <c:crosses val="autoZero"/>
        <c:auto val="1"/>
        <c:lblAlgn val="ctr"/>
        <c:lblOffset val="100"/>
        <c:noMultiLvlLbl val="0"/>
      </c:catAx>
      <c:valAx>
        <c:axId val="187336756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4091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70093042094269"/>
          <c:y val="0.25202928116654788"/>
          <c:w val="0.33710635592747767"/>
          <c:h val="0.37265620849241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46214479228562E-2"/>
          <c:y val="4.0133332765234633E-2"/>
          <c:w val="0.86472771800798864"/>
          <c:h val="0.86207788459326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Financials!$C$199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Financials!$O$196:$S$196</c:f>
              <c:numCache>
                <c:formatCode>"Year "#,##0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Financials!$O$199:$S$199</c:f>
              <c:numCache>
                <c:formatCode>#,##0</c:formatCode>
                <c:ptCount val="5"/>
                <c:pt idx="0">
                  <c:v>5657725</c:v>
                </c:pt>
                <c:pt idx="1">
                  <c:v>6082054.375</c:v>
                </c:pt>
                <c:pt idx="2">
                  <c:v>6386157.09375</c:v>
                </c:pt>
                <c:pt idx="3">
                  <c:v>6705464.9484375007</c:v>
                </c:pt>
                <c:pt idx="4">
                  <c:v>7040738.1958593763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6-4D4B-8477-2F5383E8FBC7}"/>
            </c:ext>
          </c:extLst>
        </c:ser>
        <c:ser>
          <c:idx val="1"/>
          <c:order val="1"/>
          <c:tx>
            <c:strRef>
              <c:f>Financials!$C$200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98C51E"/>
            </a:solidFill>
            <a:ln>
              <a:noFill/>
            </a:ln>
            <a:effectLst/>
          </c:spPr>
          <c:invertIfNegative val="0"/>
          <c:cat>
            <c:numRef>
              <c:f>Financials!$O$196:$S$196</c:f>
              <c:numCache>
                <c:formatCode>"Year "#,##0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Financials!$O$200:$S$200</c:f>
              <c:numCache>
                <c:formatCode>#,##0</c:formatCode>
                <c:ptCount val="5"/>
                <c:pt idx="0">
                  <c:v>1100684.6818181814</c:v>
                </c:pt>
                <c:pt idx="1">
                  <c:v>1183236.032954545</c:v>
                </c:pt>
                <c:pt idx="2">
                  <c:v>1261473.3687784085</c:v>
                </c:pt>
                <c:pt idx="3">
                  <c:v>1260055.1442809654</c:v>
                </c:pt>
                <c:pt idx="4">
                  <c:v>1235187.6973692181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6-4D4B-8477-2F5383E8FBC7}"/>
            </c:ext>
          </c:extLst>
        </c:ser>
        <c:ser>
          <c:idx val="3"/>
          <c:order val="3"/>
          <c:tx>
            <c:strRef>
              <c:f>Financials!$C$202</c:f>
              <c:strCache>
                <c:ptCount val="1"/>
                <c:pt idx="0">
                  <c:v>Net Income/Loss</c:v>
                </c:pt>
              </c:strCache>
            </c:strRef>
          </c:tx>
          <c:spPr>
            <a:solidFill>
              <a:srgbClr val="268C70"/>
            </a:solidFill>
            <a:ln>
              <a:noFill/>
            </a:ln>
            <a:effectLst/>
          </c:spPr>
          <c:invertIfNegative val="0"/>
          <c:cat>
            <c:numRef>
              <c:f>Financials!$O$196:$S$196</c:f>
              <c:numCache>
                <c:formatCode>"Year "#,##0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Financials!$O$202:$S$202</c:f>
              <c:numCache>
                <c:formatCode>#,##0</c:formatCode>
                <c:ptCount val="5"/>
                <c:pt idx="0">
                  <c:v>565826.011363636</c:v>
                </c:pt>
                <c:pt idx="1">
                  <c:v>633364.5247159088</c:v>
                </c:pt>
                <c:pt idx="2">
                  <c:v>697667.52658380638</c:v>
                </c:pt>
                <c:pt idx="3">
                  <c:v>702228.85821072408</c:v>
                </c:pt>
                <c:pt idx="4">
                  <c:v>651703.27302691364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6-4D4B-8477-2F5383E8F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96685423"/>
        <c:axId val="872123199"/>
      </c:barChart>
      <c:lineChart>
        <c:grouping val="standard"/>
        <c:varyColors val="0"/>
        <c:ser>
          <c:idx val="2"/>
          <c:order val="2"/>
          <c:tx>
            <c:strRef>
              <c:f>Financials!$C$201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Financials!$O$201:$S$201</c:f>
              <c:numCache>
                <c:formatCode>0.0%</c:formatCode>
                <c:ptCount val="5"/>
                <c:pt idx="0">
                  <c:v>0.19454545454545447</c:v>
                </c:pt>
                <c:pt idx="1">
                  <c:v>0.19454545454545447</c:v>
                </c:pt>
                <c:pt idx="2">
                  <c:v>0.19753246753246745</c:v>
                </c:pt>
                <c:pt idx="3">
                  <c:v>0.18791465677179953</c:v>
                </c:pt>
                <c:pt idx="4">
                  <c:v>0.17543440233236138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36-4D4B-8477-2F5383E8FBC7}"/>
            </c:ext>
          </c:extLst>
        </c:ser>
        <c:ser>
          <c:idx val="4"/>
          <c:order val="4"/>
          <c:tx>
            <c:strRef>
              <c:f>Financials!$C$203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Financials!$O$203:$S$203</c:f>
              <c:numCache>
                <c:formatCode>0.0%</c:formatCode>
                <c:ptCount val="5"/>
                <c:pt idx="0">
                  <c:v>0.28761379679436305</c:v>
                </c:pt>
                <c:pt idx="1">
                  <c:v>0.44169988538212279</c:v>
                </c:pt>
                <c:pt idx="2">
                  <c:v>0.58709386911585382</c:v>
                </c:pt>
                <c:pt idx="3">
                  <c:v>0.66768040201824275</c:v>
                </c:pt>
                <c:pt idx="4">
                  <c:v>0.73472299654983764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36-4D4B-8477-2F5383E8F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05312"/>
        <c:axId val="1725016064"/>
      </c:lineChart>
      <c:catAx>
        <c:axId val="1996685423"/>
        <c:scaling>
          <c:orientation val="minMax"/>
        </c:scaling>
        <c:delete val="0"/>
        <c:axPos val="b"/>
        <c:numFmt formatCode="&quot;Year 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72123199"/>
        <c:crosses val="autoZero"/>
        <c:auto val="1"/>
        <c:lblAlgn val="ctr"/>
        <c:lblOffset val="100"/>
        <c:noMultiLvlLbl val="0"/>
      </c:catAx>
      <c:valAx>
        <c:axId val="87212319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96685423"/>
        <c:crosses val="autoZero"/>
        <c:crossBetween val="between"/>
      </c:valAx>
      <c:valAx>
        <c:axId val="17250160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7305312"/>
        <c:crosses val="max"/>
        <c:crossBetween val="between"/>
      </c:valAx>
      <c:catAx>
        <c:axId val="37305312"/>
        <c:scaling>
          <c:orientation val="minMax"/>
        </c:scaling>
        <c:delete val="1"/>
        <c:axPos val="b"/>
        <c:majorTickMark val="out"/>
        <c:minorTickMark val="none"/>
        <c:tickLblPos val="nextTo"/>
        <c:crossAx val="1725016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130899644683074"/>
          <c:y val="3.5392263968493424E-3"/>
          <c:w val="0.67500776014323105"/>
          <c:h val="8.0054561185426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Financials!$C$206</c:f>
              <c:strCache>
                <c:ptCount val="1"/>
                <c:pt idx="0">
                  <c:v>Net Working Capital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Financials!$O$196:$S$196</c:f>
              <c:numCache>
                <c:formatCode>"Year "#,##0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Financials!$O$206:$S$206</c:f>
              <c:numCache>
                <c:formatCode>#,##0</c:formatCode>
                <c:ptCount val="5"/>
                <c:pt idx="0">
                  <c:v>434063.76212328766</c:v>
                </c:pt>
                <c:pt idx="1">
                  <c:v>465380.18902390706</c:v>
                </c:pt>
                <c:pt idx="2">
                  <c:v>491143.59539158823</c:v>
                </c:pt>
                <c:pt idx="3">
                  <c:v>515700.77516116761</c:v>
                </c:pt>
                <c:pt idx="4">
                  <c:v>541485.81391922617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6-924E-9378-3F49720A08DA}"/>
            </c:ext>
          </c:extLst>
        </c:ser>
        <c:ser>
          <c:idx val="1"/>
          <c:order val="1"/>
          <c:tx>
            <c:strRef>
              <c:f>Financials!$C$207</c:f>
              <c:strCache>
                <c:ptCount val="1"/>
                <c:pt idx="0">
                  <c:v>Fixed Assets</c:v>
                </c:pt>
              </c:strCache>
            </c:strRef>
          </c:tx>
          <c:spPr>
            <a:solidFill>
              <a:srgbClr val="008F6E"/>
            </a:solidFill>
            <a:ln>
              <a:noFill/>
            </a:ln>
            <a:effectLst/>
          </c:spPr>
          <c:invertIfNegative val="0"/>
          <c:cat>
            <c:numRef>
              <c:f>Financials!$O$196:$S$196</c:f>
              <c:numCache>
                <c:formatCode>"Year "#,##0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Financials!$O$207:$S$207</c:f>
              <c:numCache>
                <c:formatCode>#,##0</c:formatCode>
                <c:ptCount val="5"/>
                <c:pt idx="0">
                  <c:v>1200000</c:v>
                </c:pt>
                <c:pt idx="1">
                  <c:v>900000</c:v>
                </c:pt>
                <c:pt idx="2">
                  <c:v>600000</c:v>
                </c:pt>
                <c:pt idx="3">
                  <c:v>550000</c:v>
                </c:pt>
                <c:pt idx="4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76-924E-9378-3F49720A08DA}"/>
            </c:ext>
          </c:extLst>
        </c:ser>
        <c:ser>
          <c:idx val="2"/>
          <c:order val="2"/>
          <c:tx>
            <c:strRef>
              <c:f>Financials!$C$208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98C51E"/>
            </a:solidFill>
            <a:ln>
              <a:noFill/>
            </a:ln>
            <a:effectLst/>
          </c:spPr>
          <c:invertIfNegative val="0"/>
          <c:cat>
            <c:numRef>
              <c:f>Financials!$O$196:$S$196</c:f>
              <c:numCache>
                <c:formatCode>"Year "#,##0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Financials!$O$208:$S$208</c:f>
              <c:numCache>
                <c:formatCode>#,##0</c:formatCode>
                <c:ptCount val="5"/>
                <c:pt idx="0">
                  <c:v>971699.34309153142</c:v>
                </c:pt>
                <c:pt idx="1">
                  <c:v>1383738.0834920481</c:v>
                </c:pt>
                <c:pt idx="2">
                  <c:v>1846341.9457330317</c:v>
                </c:pt>
                <c:pt idx="3">
                  <c:v>2063344.9667109591</c:v>
                </c:pt>
                <c:pt idx="4">
                  <c:v>2543752.2190717403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76-924E-9378-3F49720A0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86500847"/>
        <c:axId val="78323904"/>
      </c:barChart>
      <c:catAx>
        <c:axId val="198650084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8323904"/>
        <c:crosses val="autoZero"/>
        <c:auto val="1"/>
        <c:lblAlgn val="ctr"/>
        <c:lblOffset val="100"/>
        <c:noMultiLvlLbl val="0"/>
      </c:catAx>
      <c:valAx>
        <c:axId val="783239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8650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697245436989645E-2"/>
          <c:y val="6.9425661955390405E-2"/>
          <c:w val="0.93733943442672973"/>
          <c:h val="0.850573424784085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Financials!$O$217:$O$218</c:f>
              <c:strCache>
                <c:ptCount val="2"/>
                <c:pt idx="0">
                  <c:v>TV</c:v>
                </c:pt>
                <c:pt idx="1">
                  <c:v>(Year 5)</c:v>
                </c:pt>
              </c:strCache>
            </c:strRef>
          </c:tx>
          <c:spPr>
            <a:solidFill>
              <a:srgbClr val="268C7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Financials!$C$221:$C$230</c:f>
              <c:strCache>
                <c:ptCount val="10"/>
                <c:pt idx="0">
                  <c:v>Capitalized Earnings</c:v>
                </c:pt>
                <c:pt idx="1">
                  <c:v>Gordon Growth</c:v>
                </c:pt>
                <c:pt idx="2">
                  <c:v>H-Model</c:v>
                </c:pt>
                <c:pt idx="3">
                  <c:v>EV/Revenue Exit Multiple (2.5x)</c:v>
                </c:pt>
                <c:pt idx="4">
                  <c:v>EV/EBITDA Exit Multiple (6.0x)</c:v>
                </c:pt>
                <c:pt idx="5">
                  <c:v>EV/EBIT Exit Multiple (7.0x)</c:v>
                </c:pt>
                <c:pt idx="6">
                  <c:v>P/E Exit Multiple (5.0x)</c:v>
                </c:pt>
                <c:pt idx="7">
                  <c:v>P/B Exit Multiple (2.0x)</c:v>
                </c:pt>
                <c:pt idx="8">
                  <c:v>One Stage Value Driver</c:v>
                </c:pt>
                <c:pt idx="9">
                  <c:v>Two Stage Value Driver</c:v>
                </c:pt>
              </c:strCache>
            </c:strRef>
          </c:cat>
          <c:val>
            <c:numRef>
              <c:f>Financials!$O$221:$O$230</c:f>
              <c:numCache>
                <c:formatCode>_(* #,##0_);_(* \(#,##0\);_(* "-"??_);_(@_)</c:formatCode>
                <c:ptCount val="10"/>
                <c:pt idx="0">
                  <c:v>6697510.9510911852</c:v>
                </c:pt>
                <c:pt idx="1">
                  <c:v>13663519.4283383</c:v>
                </c:pt>
                <c:pt idx="2">
                  <c:v>16867483.058766715</c:v>
                </c:pt>
                <c:pt idx="3">
                  <c:v>17601845.489648439</c:v>
                </c:pt>
                <c:pt idx="4">
                  <c:v>7411126.1842153091</c:v>
                </c:pt>
                <c:pt idx="5">
                  <c:v>6196313.881584527</c:v>
                </c:pt>
                <c:pt idx="6">
                  <c:v>1214764.1460628277</c:v>
                </c:pt>
                <c:pt idx="7">
                  <c:v>3526723.8469101926</c:v>
                </c:pt>
                <c:pt idx="8">
                  <c:v>965088.17593289493</c:v>
                </c:pt>
                <c:pt idx="9">
                  <c:v>4379465.0854245424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4-2745-AB2A-06EFB14A3339}"/>
            </c:ext>
          </c:extLst>
        </c:ser>
        <c:ser>
          <c:idx val="1"/>
          <c:order val="1"/>
          <c:tx>
            <c:strRef>
              <c:f>Financials!$P$217:$P$218</c:f>
              <c:strCache>
                <c:ptCount val="2"/>
                <c:pt idx="0">
                  <c:v>PV of TV</c:v>
                </c:pt>
                <c:pt idx="1">
                  <c:v>(Year 0)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Financials!$C$221:$C$230</c:f>
              <c:strCache>
                <c:ptCount val="10"/>
                <c:pt idx="0">
                  <c:v>Capitalized Earnings</c:v>
                </c:pt>
                <c:pt idx="1">
                  <c:v>Gordon Growth</c:v>
                </c:pt>
                <c:pt idx="2">
                  <c:v>H-Model</c:v>
                </c:pt>
                <c:pt idx="3">
                  <c:v>EV/Revenue Exit Multiple (2.5x)</c:v>
                </c:pt>
                <c:pt idx="4">
                  <c:v>EV/EBITDA Exit Multiple (6.0x)</c:v>
                </c:pt>
                <c:pt idx="5">
                  <c:v>EV/EBIT Exit Multiple (7.0x)</c:v>
                </c:pt>
                <c:pt idx="6">
                  <c:v>P/E Exit Multiple (5.0x)</c:v>
                </c:pt>
                <c:pt idx="7">
                  <c:v>P/B Exit Multiple (2.0x)</c:v>
                </c:pt>
                <c:pt idx="8">
                  <c:v>One Stage Value Driver</c:v>
                </c:pt>
                <c:pt idx="9">
                  <c:v>Two Stage Value Driver</c:v>
                </c:pt>
              </c:strCache>
            </c:strRef>
          </c:cat>
          <c:val>
            <c:numRef>
              <c:f>Financials!$P$221:$P$230</c:f>
              <c:numCache>
                <c:formatCode>_(* #,##0_);_(* \(#,##0\);_(* "-"??_);_(@_)</c:formatCode>
                <c:ptCount val="10"/>
                <c:pt idx="0">
                  <c:v>4377251.9478141069</c:v>
                </c:pt>
                <c:pt idx="1">
                  <c:v>8929984.2088269293</c:v>
                </c:pt>
                <c:pt idx="2">
                  <c:v>11023979.447421262</c:v>
                </c:pt>
                <c:pt idx="3">
                  <c:v>11503932.284296401</c:v>
                </c:pt>
                <c:pt idx="4">
                  <c:v>4843645.1634419914</c:v>
                </c:pt>
                <c:pt idx="5">
                  <c:v>4049687.5937193502</c:v>
                </c:pt>
                <c:pt idx="6">
                  <c:v>793926.09632417734</c:v>
                </c:pt>
                <c:pt idx="7">
                  <c:v>2304939.6919276384</c:v>
                </c:pt>
                <c:pt idx="8">
                  <c:v>630746.87428862904</c:v>
                </c:pt>
                <c:pt idx="9">
                  <c:v>2862260.6540770489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4-2745-AB2A-06EFB14A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66868015"/>
        <c:axId val="1774727567"/>
      </c:barChart>
      <c:lineChart>
        <c:grouping val="standard"/>
        <c:varyColors val="0"/>
        <c:ser>
          <c:idx val="2"/>
          <c:order val="2"/>
          <c:tx>
            <c:strRef>
              <c:f>Financials!$Q$216:$Q$218</c:f>
              <c:strCache>
                <c:ptCount val="3"/>
                <c:pt idx="0">
                  <c:v>Selected: Two Stage Value Driver</c:v>
                </c:pt>
                <c:pt idx="2">
                  <c:v>(Year 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Financials!$C$221:$C$230</c:f>
              <c:strCache>
                <c:ptCount val="10"/>
                <c:pt idx="0">
                  <c:v>Capitalized Earnings</c:v>
                </c:pt>
                <c:pt idx="1">
                  <c:v>Gordon Growth</c:v>
                </c:pt>
                <c:pt idx="2">
                  <c:v>H-Model</c:v>
                </c:pt>
                <c:pt idx="3">
                  <c:v>EV/Revenue Exit Multiple (2.5x)</c:v>
                </c:pt>
                <c:pt idx="4">
                  <c:v>EV/EBITDA Exit Multiple (6.0x)</c:v>
                </c:pt>
                <c:pt idx="5">
                  <c:v>EV/EBIT Exit Multiple (7.0x)</c:v>
                </c:pt>
                <c:pt idx="6">
                  <c:v>P/E Exit Multiple (5.0x)</c:v>
                </c:pt>
                <c:pt idx="7">
                  <c:v>P/B Exit Multiple (2.0x)</c:v>
                </c:pt>
                <c:pt idx="8">
                  <c:v>One Stage Value Driver</c:v>
                </c:pt>
                <c:pt idx="9">
                  <c:v>Two Stage Value Driver</c:v>
                </c:pt>
              </c:strCache>
            </c:strRef>
          </c:cat>
          <c:val>
            <c:numRef>
              <c:f>Financials!$Q$221:$Q$230</c:f>
              <c:numCache>
                <c:formatCode>_(* #,##0_);_(* \(#,##0\);_(* "-"??_);_(@_)</c:formatCode>
                <c:ptCount val="10"/>
                <c:pt idx="0">
                  <c:v>4379465.0854245424</c:v>
                </c:pt>
                <c:pt idx="1">
                  <c:v>4379465.0854245424</c:v>
                </c:pt>
                <c:pt idx="2">
                  <c:v>4379465.0854245424</c:v>
                </c:pt>
                <c:pt idx="3">
                  <c:v>4379465.0854245424</c:v>
                </c:pt>
                <c:pt idx="4">
                  <c:v>4379465.0854245424</c:v>
                </c:pt>
                <c:pt idx="5">
                  <c:v>4379465.0854245424</c:v>
                </c:pt>
                <c:pt idx="6">
                  <c:v>4379465.0854245424</c:v>
                </c:pt>
                <c:pt idx="7">
                  <c:v>4379465.0854245424</c:v>
                </c:pt>
                <c:pt idx="8">
                  <c:v>4379465.0854245424</c:v>
                </c:pt>
                <c:pt idx="9">
                  <c:v>4379465.0854245424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9-7349-9C45-CA1F059CB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868015"/>
        <c:axId val="1774727567"/>
      </c:lineChart>
      <c:catAx>
        <c:axId val="16668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74727567"/>
        <c:crosses val="autoZero"/>
        <c:auto val="1"/>
        <c:lblAlgn val="ctr"/>
        <c:lblOffset val="100"/>
        <c:noMultiLvlLbl val="0"/>
      </c:catAx>
      <c:valAx>
        <c:axId val="177472756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668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773469154139385"/>
          <c:y val="0"/>
          <c:w val="0.6410654817679039"/>
          <c:h val="7.8030945006924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15898038533064E-2"/>
          <c:y val="2.7464405148350891E-2"/>
          <c:w val="0.92445050361400094"/>
          <c:h val="0.744272747156605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Financials!$C$211</c:f>
              <c:strCache>
                <c:ptCount val="1"/>
                <c:pt idx="0">
                  <c:v>Free Cash Flow to Firm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Financials!$M$210:$S$210</c:f>
              <c:strCache>
                <c:ptCount val="7"/>
                <c:pt idx="0">
                  <c:v>Year 1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Terminal Value</c:v>
                </c:pt>
              </c:strCache>
            </c:strRef>
          </c:cat>
          <c:val>
            <c:numRef>
              <c:f>Financials!$M$211:$S$211</c:f>
              <c:numCache>
                <c:formatCode>#,##0</c:formatCode>
                <c:ptCount val="7"/>
                <c:pt idx="0">
                  <c:v>876134.64650062227</c:v>
                </c:pt>
                <c:pt idx="1">
                  <c:v>876134.64650062227</c:v>
                </c:pt>
                <c:pt idx="2">
                  <c:v>931110.59781528939</c:v>
                </c:pt>
                <c:pt idx="3">
                  <c:v>995341.62021612527</c:v>
                </c:pt>
                <c:pt idx="4">
                  <c:v>745484.17844114464</c:v>
                </c:pt>
                <c:pt idx="5">
                  <c:v>988105.73426885519</c:v>
                </c:pt>
                <c:pt idx="6">
                  <c:v>4379465.0854245424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F-A647-93F8-C0E3A5204E60}"/>
            </c:ext>
          </c:extLst>
        </c:ser>
        <c:ser>
          <c:idx val="1"/>
          <c:order val="1"/>
          <c:tx>
            <c:strRef>
              <c:f>Financials!$C$214</c:f>
              <c:strCache>
                <c:ptCount val="1"/>
                <c:pt idx="0">
                  <c:v>Discounted Cash Flows</c:v>
                </c:pt>
              </c:strCache>
            </c:strRef>
          </c:tx>
          <c:spPr>
            <a:solidFill>
              <a:srgbClr val="008F6E"/>
            </a:solidFill>
            <a:ln>
              <a:noFill/>
            </a:ln>
            <a:effectLst/>
          </c:spPr>
          <c:invertIfNegative val="0"/>
          <c:cat>
            <c:strRef>
              <c:f>Financials!$M$210:$S$210</c:f>
              <c:strCache>
                <c:ptCount val="7"/>
                <c:pt idx="0">
                  <c:v>Year 1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Terminal Value</c:v>
                </c:pt>
              </c:strCache>
            </c:strRef>
          </c:cat>
          <c:val>
            <c:numRef>
              <c:f>Financials!$M$214:$S$214</c:f>
              <c:numCache>
                <c:formatCode>#,##0</c:formatCode>
                <c:ptCount val="7"/>
                <c:pt idx="0">
                  <c:v>835694.0530210603</c:v>
                </c:pt>
                <c:pt idx="1">
                  <c:v>835694.0530210603</c:v>
                </c:pt>
                <c:pt idx="2">
                  <c:v>808035.87055897072</c:v>
                </c:pt>
                <c:pt idx="3">
                  <c:v>785876.76557767636</c:v>
                </c:pt>
                <c:pt idx="4">
                  <c:v>535517.45267594268</c:v>
                </c:pt>
                <c:pt idx="5">
                  <c:v>645790.32144321583</c:v>
                </c:pt>
                <c:pt idx="6">
                  <c:v>2862260.6540770489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F-A647-93F8-C0E3A5204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76008559"/>
        <c:axId val="792862767"/>
      </c:barChart>
      <c:catAx>
        <c:axId val="87600855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2862767"/>
        <c:crosses val="autoZero"/>
        <c:auto val="1"/>
        <c:lblAlgn val="ctr"/>
        <c:lblOffset val="100"/>
        <c:noMultiLvlLbl val="0"/>
      </c:catAx>
      <c:valAx>
        <c:axId val="7928627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7600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6416865820014"/>
          <c:y val="0.90392452754325003"/>
          <c:w val="0.56087154801347194"/>
          <c:h val="7.213929723138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'Terminal Value'!$L$56</c:f>
              <c:strCache>
                <c:ptCount val="1"/>
                <c:pt idx="0">
                  <c:v>High Growth Period (Year 6 - 15)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'Terminal Value'!$O$56</c:f>
              <c:numCache>
                <c:formatCode>0.0%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D-0243-AEFF-FF3435197AFA}"/>
            </c:ext>
          </c:extLst>
        </c:ser>
        <c:ser>
          <c:idx val="1"/>
          <c:order val="1"/>
          <c:tx>
            <c:strRef>
              <c:f>'Terminal Value'!$L$57</c:f>
              <c:strCache>
                <c:ptCount val="1"/>
                <c:pt idx="0">
                  <c:v>Low Growth Period (Year 16 - Infinity)</c:v>
                </c:pt>
              </c:strCache>
            </c:strRef>
          </c:tx>
          <c:spPr>
            <a:solidFill>
              <a:srgbClr val="008F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'Terminal Value'!$O$57</c:f>
              <c:numCache>
                <c:formatCode>0.0%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D-0243-AEFF-FF3435197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685119"/>
        <c:axId val="335858719"/>
      </c:barChart>
      <c:catAx>
        <c:axId val="335685119"/>
        <c:scaling>
          <c:orientation val="minMax"/>
        </c:scaling>
        <c:delete val="1"/>
        <c:axPos val="b"/>
        <c:majorTickMark val="none"/>
        <c:minorTickMark val="none"/>
        <c:tickLblPos val="nextTo"/>
        <c:crossAx val="335858719"/>
        <c:crosses val="autoZero"/>
        <c:auto val="1"/>
        <c:lblAlgn val="ctr"/>
        <c:lblOffset val="100"/>
        <c:noMultiLvlLbl val="0"/>
      </c:catAx>
      <c:valAx>
        <c:axId val="335858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3568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720294037059381E-2"/>
          <c:y val="5.211268854057409E-2"/>
          <c:w val="0.81474034533408934"/>
          <c:h val="0.83119159560013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'Terminal Value'!$N$87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A21-164C-BEA1-573D4FD88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'Terminal Value'!$M$91:$M$96</c:f>
              <c:strCache>
                <c:ptCount val="6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Terminal Value</c:v>
                </c:pt>
              </c:strCache>
            </c:strRef>
          </c:cat>
          <c:val>
            <c:numRef>
              <c:f>'Terminal Value'!$N$91:$N$96</c:f>
              <c:numCache>
                <c:formatCode>0.0%</c:formatCode>
                <c:ptCount val="6"/>
                <c:pt idx="0">
                  <c:v>0.28761379679436305</c:v>
                </c:pt>
                <c:pt idx="1">
                  <c:v>0.44169988538212279</c:v>
                </c:pt>
                <c:pt idx="2">
                  <c:v>0.58709386911585382</c:v>
                </c:pt>
                <c:pt idx="3">
                  <c:v>0.66768040201824275</c:v>
                </c:pt>
                <c:pt idx="4">
                  <c:v>0.73472299654983764</c:v>
                </c:pt>
                <c:pt idx="5">
                  <c:v>0.11912499999999999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1-164C-BEA1-573D4FD88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40998559"/>
        <c:axId val="1707822159"/>
      </c:barChart>
      <c:barChart>
        <c:barDir val="col"/>
        <c:grouping val="stacked"/>
        <c:varyColors val="0"/>
        <c:ser>
          <c:idx val="1"/>
          <c:order val="1"/>
          <c:tx>
            <c:strRef>
              <c:f>'Terminal Value'!$O$87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'Terminal Value'!$M$91:$M$96</c:f>
              <c:strCache>
                <c:ptCount val="6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Terminal Value</c:v>
                </c:pt>
              </c:strCache>
            </c:strRef>
          </c:cat>
          <c:val>
            <c:numRef>
              <c:f>'Terminal Value'!$O$91:$O$96</c:f>
              <c:numCache>
                <c:formatCode>0.0%</c:formatCode>
                <c:ptCount val="6"/>
                <c:pt idx="0">
                  <c:v>9.9124999999999991E-2</c:v>
                </c:pt>
                <c:pt idx="1">
                  <c:v>9.9124999999999991E-2</c:v>
                </c:pt>
                <c:pt idx="2">
                  <c:v>9.9124999999999991E-2</c:v>
                </c:pt>
                <c:pt idx="3">
                  <c:v>9.9124999999999991E-2</c:v>
                </c:pt>
                <c:pt idx="4">
                  <c:v>9.9124999999999991E-2</c:v>
                </c:pt>
                <c:pt idx="5">
                  <c:v>9.9124999999999991E-2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1-164C-BEA1-573D4FD88D08}"/>
            </c:ext>
          </c:extLst>
        </c:ser>
        <c:ser>
          <c:idx val="2"/>
          <c:order val="2"/>
          <c:tx>
            <c:strRef>
              <c:f>'Terminal Value'!$P$87</c:f>
              <c:strCache>
                <c:ptCount val="1"/>
                <c:pt idx="0">
                  <c:v>Excess Return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'Terminal Value'!$M$91:$M$96</c:f>
              <c:strCache>
                <c:ptCount val="6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Terminal Value</c:v>
                </c:pt>
              </c:strCache>
            </c:strRef>
          </c:cat>
          <c:val>
            <c:numRef>
              <c:f>'Terminal Value'!$P$91:$P$96</c:f>
              <c:numCache>
                <c:formatCode>0.0%</c:formatCode>
                <c:ptCount val="6"/>
                <c:pt idx="0">
                  <c:v>0.18848879679436306</c:v>
                </c:pt>
                <c:pt idx="1">
                  <c:v>0.34257488538212277</c:v>
                </c:pt>
                <c:pt idx="2">
                  <c:v>0.4879688691158538</c:v>
                </c:pt>
                <c:pt idx="3">
                  <c:v>0.56855540201824273</c:v>
                </c:pt>
                <c:pt idx="4">
                  <c:v>0.63559799654983762</c:v>
                </c:pt>
                <c:pt idx="5">
                  <c:v>2.0000000000000004E-2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1-164C-BEA1-573D4FD88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100"/>
        <c:axId val="337688431"/>
        <c:axId val="269419743"/>
      </c:barChart>
      <c:catAx>
        <c:axId val="2409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07822159"/>
        <c:crosses val="autoZero"/>
        <c:auto val="1"/>
        <c:lblAlgn val="ctr"/>
        <c:lblOffset val="100"/>
        <c:noMultiLvlLbl val="0"/>
      </c:catAx>
      <c:valAx>
        <c:axId val="1707822159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40998559"/>
        <c:crosses val="autoZero"/>
        <c:crossBetween val="between"/>
      </c:valAx>
      <c:valAx>
        <c:axId val="269419743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37688431"/>
        <c:crosses val="max"/>
        <c:crossBetween val="between"/>
      </c:valAx>
      <c:catAx>
        <c:axId val="337688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9419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92370528945265"/>
          <c:y val="8.2227995952541683E-3"/>
          <c:w val="0.32759969524089649"/>
          <c:h val="5.7362942699252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138009790624"/>
          <c:y val="1.8514926228881585E-2"/>
          <c:w val="0.8396195714489274"/>
          <c:h val="0.83367242995096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'Terminal Value'!$H$122:$H$123</c:f>
              <c:strCache>
                <c:ptCount val="2"/>
                <c:pt idx="0">
                  <c:v>TV</c:v>
                </c:pt>
                <c:pt idx="1">
                  <c:v>Year 5</c:v>
                </c:pt>
              </c:strCache>
            </c:strRef>
          </c:tx>
          <c:spPr>
            <a:solidFill>
              <a:srgbClr val="268C7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'Terminal Value'!$C$126:$C$135</c:f>
              <c:strCache>
                <c:ptCount val="10"/>
                <c:pt idx="0">
                  <c:v>Capitalized Earnings</c:v>
                </c:pt>
                <c:pt idx="1">
                  <c:v>Gordon Growth</c:v>
                </c:pt>
                <c:pt idx="2">
                  <c:v>H-Model</c:v>
                </c:pt>
                <c:pt idx="3">
                  <c:v>EV/Revenue Exit Multiple (2.5x)</c:v>
                </c:pt>
                <c:pt idx="4">
                  <c:v>EV/EBITDA Exit Multiple (6.0x)</c:v>
                </c:pt>
                <c:pt idx="5">
                  <c:v>EV/EBIT Exit Multiple (7.0x)</c:v>
                </c:pt>
                <c:pt idx="6">
                  <c:v>P/E Exit Multiple (5.0x)</c:v>
                </c:pt>
                <c:pt idx="7">
                  <c:v>P/B Exit Multiple (2.0x)</c:v>
                </c:pt>
                <c:pt idx="8">
                  <c:v>One Stage Value Driver</c:v>
                </c:pt>
                <c:pt idx="9">
                  <c:v>Two Stage Value Driver</c:v>
                </c:pt>
              </c:strCache>
            </c:strRef>
          </c:cat>
          <c:val>
            <c:numRef>
              <c:f>'Terminal Value'!$H$126:$H$135</c:f>
              <c:numCache>
                <c:formatCode>_(* #,##0_);_(* \(#,##0\);_(* "-"??_);_(@_)</c:formatCode>
                <c:ptCount val="10"/>
                <c:pt idx="0">
                  <c:v>6697510.9510911852</c:v>
                </c:pt>
                <c:pt idx="1">
                  <c:v>13663519.4283383</c:v>
                </c:pt>
                <c:pt idx="2">
                  <c:v>16867483.058766715</c:v>
                </c:pt>
                <c:pt idx="3">
                  <c:v>17601845.489648439</c:v>
                </c:pt>
                <c:pt idx="4">
                  <c:v>7411126.1842153091</c:v>
                </c:pt>
                <c:pt idx="5">
                  <c:v>6196313.881584527</c:v>
                </c:pt>
                <c:pt idx="6">
                  <c:v>1214764.1460628277</c:v>
                </c:pt>
                <c:pt idx="7">
                  <c:v>3526723.8469101926</c:v>
                </c:pt>
                <c:pt idx="8">
                  <c:v>965088.17593289493</c:v>
                </c:pt>
                <c:pt idx="9">
                  <c:v>4379465.0854245424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F-134E-84D6-AF5A0FC268EE}"/>
            </c:ext>
          </c:extLst>
        </c:ser>
        <c:ser>
          <c:idx val="1"/>
          <c:order val="1"/>
          <c:tx>
            <c:strRef>
              <c:f>'Terminal Value'!$J$122:$J$123</c:f>
              <c:strCache>
                <c:ptCount val="2"/>
                <c:pt idx="0">
                  <c:v>PV of TV</c:v>
                </c:pt>
                <c:pt idx="1">
                  <c:v>Year 0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'Terminal Value'!$C$126:$C$135</c:f>
              <c:strCache>
                <c:ptCount val="10"/>
                <c:pt idx="0">
                  <c:v>Capitalized Earnings</c:v>
                </c:pt>
                <c:pt idx="1">
                  <c:v>Gordon Growth</c:v>
                </c:pt>
                <c:pt idx="2">
                  <c:v>H-Model</c:v>
                </c:pt>
                <c:pt idx="3">
                  <c:v>EV/Revenue Exit Multiple (2.5x)</c:v>
                </c:pt>
                <c:pt idx="4">
                  <c:v>EV/EBITDA Exit Multiple (6.0x)</c:v>
                </c:pt>
                <c:pt idx="5">
                  <c:v>EV/EBIT Exit Multiple (7.0x)</c:v>
                </c:pt>
                <c:pt idx="6">
                  <c:v>P/E Exit Multiple (5.0x)</c:v>
                </c:pt>
                <c:pt idx="7">
                  <c:v>P/B Exit Multiple (2.0x)</c:v>
                </c:pt>
                <c:pt idx="8">
                  <c:v>One Stage Value Driver</c:v>
                </c:pt>
                <c:pt idx="9">
                  <c:v>Two Stage Value Driver</c:v>
                </c:pt>
              </c:strCache>
            </c:strRef>
          </c:cat>
          <c:val>
            <c:numRef>
              <c:f>'Terminal Value'!$J$126:$J$135</c:f>
              <c:numCache>
                <c:formatCode>_(* #,##0_);_(* \(#,##0\);_(* "-"??_);_(@_)</c:formatCode>
                <c:ptCount val="10"/>
                <c:pt idx="0">
                  <c:v>4377251.9478141069</c:v>
                </c:pt>
                <c:pt idx="1">
                  <c:v>8929984.2088269293</c:v>
                </c:pt>
                <c:pt idx="2">
                  <c:v>11023979.447421262</c:v>
                </c:pt>
                <c:pt idx="3">
                  <c:v>11503932.284296401</c:v>
                </c:pt>
                <c:pt idx="4">
                  <c:v>4843645.1634419914</c:v>
                </c:pt>
                <c:pt idx="5">
                  <c:v>4049687.5937193502</c:v>
                </c:pt>
                <c:pt idx="6">
                  <c:v>793926.09632417734</c:v>
                </c:pt>
                <c:pt idx="7">
                  <c:v>2304939.6919276384</c:v>
                </c:pt>
                <c:pt idx="8">
                  <c:v>630746.87428862904</c:v>
                </c:pt>
                <c:pt idx="9">
                  <c:v>2862260.6540770489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F-134E-84D6-AF5A0FC26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66868015"/>
        <c:axId val="1774727567"/>
      </c:barChart>
      <c:catAx>
        <c:axId val="16668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6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74727567"/>
        <c:crosses val="autoZero"/>
        <c:auto val="1"/>
        <c:lblAlgn val="ctr"/>
        <c:lblOffset val="100"/>
        <c:noMultiLvlLbl val="0"/>
      </c:catAx>
      <c:valAx>
        <c:axId val="177472756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668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95804391038753"/>
          <c:y val="5.3753296766302305E-2"/>
          <c:w val="0.14531441772372269"/>
          <c:h val="0.113423311853235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092696808050546E-2"/>
          <c:y val="7.0725529207650503E-2"/>
          <c:w val="0.89256016765670942"/>
          <c:h val="0.82850961881707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'Two Stage Value Driver Model'!$C$84</c:f>
              <c:strCache>
                <c:ptCount val="1"/>
                <c:pt idx="0">
                  <c:v>FCF Forecast Period</c:v>
                </c:pt>
              </c:strCache>
            </c:strRef>
          </c:tx>
          <c:spPr>
            <a:solidFill>
              <a:srgbClr val="008F6E"/>
            </a:solidFill>
            <a:ln>
              <a:noFill/>
            </a:ln>
            <a:effectLst/>
          </c:spPr>
          <c:invertIfNegative val="0"/>
          <c:cat>
            <c:numRef>
              <c:f>'Two Stage Value Driver Model'!$N$82:$AV$82</c:f>
              <c:numCache>
                <c:formatCode>"Year "#,##0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'Two Stage Value Driver Model'!$N$84:$AV$84</c:f>
              <c:numCache>
                <c:formatCode>_(* #,##0_);_(* \(#,##0\);_(* "-"??_);_(@_)</c:formatCode>
                <c:ptCount val="35"/>
                <c:pt idx="0">
                  <c:v>876134.64650062227</c:v>
                </c:pt>
                <c:pt idx="1">
                  <c:v>931110.59781528939</c:v>
                </c:pt>
                <c:pt idx="2">
                  <c:v>995341.62021612527</c:v>
                </c:pt>
                <c:pt idx="3">
                  <c:v>745484.17844114464</c:v>
                </c:pt>
                <c:pt idx="4">
                  <c:v>988105.73426885519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C-3D49-B1B9-F9AF9B789D9F}"/>
            </c:ext>
          </c:extLst>
        </c:ser>
        <c:ser>
          <c:idx val="1"/>
          <c:order val="1"/>
          <c:tx>
            <c:strRef>
              <c:f>'Two Stage Value Driver Model'!$C$85</c:f>
              <c:strCache>
                <c:ptCount val="1"/>
                <c:pt idx="0">
                  <c:v>FCF Gordon Growth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'Two Stage Value Driver Model'!$N$82:$AV$82</c:f>
              <c:numCache>
                <c:formatCode>"Year "#,##0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'Two Stage Value Driver Model'!$N$85:$AV$85</c:f>
              <c:numCache>
                <c:formatCode>_(* #,##0_);_(* \(#,##0\);_(* "-"??_);_(@_)</c:formatCode>
                <c:ptCount val="35"/>
                <c:pt idx="5">
                  <c:v>1012808.3776255765</c:v>
                </c:pt>
                <c:pt idx="6">
                  <c:v>436224.17957271199</c:v>
                </c:pt>
                <c:pt idx="7">
                  <c:v>671624.40524601343</c:v>
                </c:pt>
                <c:pt idx="8">
                  <c:v>674499.16875760013</c:v>
                </c:pt>
                <c:pt idx="9">
                  <c:v>671392.40807746619</c:v>
                </c:pt>
                <c:pt idx="10">
                  <c:v>661860.61284098064</c:v>
                </c:pt>
                <c:pt idx="11">
                  <c:v>645438.26968220377</c:v>
                </c:pt>
                <c:pt idx="12">
                  <c:v>621636.95012940874</c:v>
                </c:pt>
                <c:pt idx="13">
                  <c:v>589944.36441854225</c:v>
                </c:pt>
                <c:pt idx="14">
                  <c:v>549823.38003487443</c:v>
                </c:pt>
                <c:pt idx="15">
                  <c:v>500711.00375349849</c:v>
                </c:pt>
                <c:pt idx="16">
                  <c:v>442017.32590850035</c:v>
                </c:pt>
                <c:pt idx="17">
                  <c:v>373124.42557844828</c:v>
                </c:pt>
                <c:pt idx="18">
                  <c:v>293385.23533235712</c:v>
                </c:pt>
                <c:pt idx="19">
                  <c:v>202122.36413535892</c:v>
                </c:pt>
                <c:pt idx="20">
                  <c:v>98626.876966998097</c:v>
                </c:pt>
                <c:pt idx="21">
                  <c:v>101092.54889117272</c:v>
                </c:pt>
                <c:pt idx="22">
                  <c:v>103619.86261345221</c:v>
                </c:pt>
                <c:pt idx="23">
                  <c:v>106210.35917878845</c:v>
                </c:pt>
                <c:pt idx="24">
                  <c:v>108865.61815825796</c:v>
                </c:pt>
                <c:pt idx="25">
                  <c:v>111587.2586122145</c:v>
                </c:pt>
                <c:pt idx="26">
                  <c:v>114376.94007751992</c:v>
                </c:pt>
                <c:pt idx="27">
                  <c:v>117236.36357945812</c:v>
                </c:pt>
                <c:pt idx="28">
                  <c:v>120167.27266894418</c:v>
                </c:pt>
                <c:pt idx="29">
                  <c:v>123171.45448566791</c:v>
                </c:pt>
                <c:pt idx="30">
                  <c:v>126250.74084780973</c:v>
                </c:pt>
                <c:pt idx="31">
                  <c:v>129407.00936900488</c:v>
                </c:pt>
                <c:pt idx="32">
                  <c:v>132642.18460322989</c:v>
                </c:pt>
                <c:pt idx="33">
                  <c:v>135958.23921831063</c:v>
                </c:pt>
                <c:pt idx="34">
                  <c:v>139357.19519876846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C-3D49-B1B9-F9AF9B789D9F}"/>
            </c:ext>
          </c:extLst>
        </c:ser>
        <c:ser>
          <c:idx val="2"/>
          <c:order val="2"/>
          <c:tx>
            <c:strRef>
              <c:f>'Two Stage Value Driver Model'!$C$86</c:f>
              <c:strCache>
                <c:ptCount val="1"/>
                <c:pt idx="0">
                  <c:v>FCF Two Stage Value Driver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'Two Stage Value Driver Model'!$N$82:$AV$82</c:f>
              <c:numCache>
                <c:formatCode>"Year "#,##0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'Two Stage Value Driver Model'!$N$86:$AV$86</c:f>
              <c:numCache>
                <c:formatCode>_(* #,##0_);_(* \(#,##0\);_(* "-"??_);_(@_)</c:formatCode>
                <c:ptCount val="35"/>
                <c:pt idx="5">
                  <c:v>425584.56543679221</c:v>
                </c:pt>
                <c:pt idx="6">
                  <c:v>655243.3221912327</c:v>
                </c:pt>
                <c:pt idx="7">
                  <c:v>658047.96951960993</c:v>
                </c:pt>
                <c:pt idx="8">
                  <c:v>655016.98349021096</c:v>
                </c:pt>
                <c:pt idx="9">
                  <c:v>645717.67106437136</c:v>
                </c:pt>
                <c:pt idx="10">
                  <c:v>629695.87286068662</c:v>
                </c:pt>
                <c:pt idx="11">
                  <c:v>606475.07329698419</c:v>
                </c:pt>
                <c:pt idx="12">
                  <c:v>575555.47748150467</c:v>
                </c:pt>
                <c:pt idx="13">
                  <c:v>536413.05369256041</c:v>
                </c:pt>
                <c:pt idx="14">
                  <c:v>488498.54024731566</c:v>
                </c:pt>
                <c:pt idx="15">
                  <c:v>431236.41552048817</c:v>
                </c:pt>
                <c:pt idx="16">
                  <c:v>364023.8298326325</c:v>
                </c:pt>
                <c:pt idx="17">
                  <c:v>286229.4978852265</c:v>
                </c:pt>
                <c:pt idx="18">
                  <c:v>197192.55037595995</c:v>
                </c:pt>
                <c:pt idx="19">
                  <c:v>96221.343382437175</c:v>
                </c:pt>
                <c:pt idx="20">
                  <c:v>98626.876966997777</c:v>
                </c:pt>
                <c:pt idx="21">
                  <c:v>101092.54889117289</c:v>
                </c:pt>
                <c:pt idx="22">
                  <c:v>103619.86261345216</c:v>
                </c:pt>
                <c:pt idx="23">
                  <c:v>106210.35917878826</c:v>
                </c:pt>
                <c:pt idx="24">
                  <c:v>108865.61815825806</c:v>
                </c:pt>
                <c:pt idx="25">
                  <c:v>111587.25861221456</c:v>
                </c:pt>
                <c:pt idx="26">
                  <c:v>114376.94007752012</c:v>
                </c:pt>
                <c:pt idx="27">
                  <c:v>117236.36357945774</c:v>
                </c:pt>
                <c:pt idx="28">
                  <c:v>120167.27266894432</c:v>
                </c:pt>
                <c:pt idx="29">
                  <c:v>123171.45448566804</c:v>
                </c:pt>
                <c:pt idx="30">
                  <c:v>126250.74084780965</c:v>
                </c:pt>
                <c:pt idx="31">
                  <c:v>129407.00936900478</c:v>
                </c:pt>
                <c:pt idx="32">
                  <c:v>132642.18460322989</c:v>
                </c:pt>
                <c:pt idx="33">
                  <c:v>135958.23921831071</c:v>
                </c:pt>
                <c:pt idx="34">
                  <c:v>139357.19519876863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C-3D49-B1B9-F9AF9B789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157888"/>
        <c:axId val="75546976"/>
      </c:barChart>
      <c:lineChart>
        <c:grouping val="standard"/>
        <c:varyColors val="0"/>
        <c:ser>
          <c:idx val="4"/>
          <c:order val="3"/>
          <c:tx>
            <c:strRef>
              <c:f>'Two Stage Value Driver Model'!$C$87</c:f>
              <c:strCache>
                <c:ptCount val="1"/>
                <c:pt idx="0">
                  <c:v>ROIC Gordon Growth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'Two Stage Value Driver Model'!$N$82:$AV$82</c:f>
              <c:numCache>
                <c:formatCode>"Year "#,##0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'Two Stage Value Driver Model'!$N$87:$AV$87</c:f>
              <c:numCache>
                <c:formatCode>_(* #,##0_);_(* \(#,##0\);_(* "-"??_);_(@_)</c:formatCode>
                <c:ptCount val="35"/>
                <c:pt idx="5" formatCode="0.0%">
                  <c:v>0.73472299654983764</c:v>
                </c:pt>
                <c:pt idx="6" formatCode="0.0%">
                  <c:v>0.73472299654983764</c:v>
                </c:pt>
                <c:pt idx="7" formatCode="0.0%">
                  <c:v>0.73472299654983764</c:v>
                </c:pt>
                <c:pt idx="8" formatCode="0.0%">
                  <c:v>0.73472299654983764</c:v>
                </c:pt>
                <c:pt idx="9" formatCode="0.0%">
                  <c:v>0.73472299654983764</c:v>
                </c:pt>
                <c:pt idx="10" formatCode="0.0%">
                  <c:v>0.73472299654983764</c:v>
                </c:pt>
                <c:pt idx="11" formatCode="0.0%">
                  <c:v>0.73472299654983764</c:v>
                </c:pt>
                <c:pt idx="12" formatCode="0.0%">
                  <c:v>0.73472299654983764</c:v>
                </c:pt>
                <c:pt idx="13" formatCode="0.0%">
                  <c:v>0.73472299654983764</c:v>
                </c:pt>
                <c:pt idx="14" formatCode="0.0%">
                  <c:v>0.73472299654983764</c:v>
                </c:pt>
                <c:pt idx="15" formatCode="0.0%">
                  <c:v>0.73472299654983764</c:v>
                </c:pt>
                <c:pt idx="16" formatCode="0.0%">
                  <c:v>0.73472299654983764</c:v>
                </c:pt>
                <c:pt idx="17" formatCode="0.0%">
                  <c:v>0.73472299654983764</c:v>
                </c:pt>
                <c:pt idx="18" formatCode="0.0%">
                  <c:v>0.73472299654983764</c:v>
                </c:pt>
                <c:pt idx="19" formatCode="0.0%">
                  <c:v>0.73472299654983764</c:v>
                </c:pt>
                <c:pt idx="20" formatCode="0.0%">
                  <c:v>0.73472299654983764</c:v>
                </c:pt>
                <c:pt idx="21" formatCode="0.0%">
                  <c:v>0.73472299654983764</c:v>
                </c:pt>
                <c:pt idx="22" formatCode="0.0%">
                  <c:v>0.73472299654983764</c:v>
                </c:pt>
                <c:pt idx="23" formatCode="0.0%">
                  <c:v>0.73472299654983764</c:v>
                </c:pt>
                <c:pt idx="24" formatCode="0.0%">
                  <c:v>0.73472299654983764</c:v>
                </c:pt>
                <c:pt idx="25" formatCode="0.0%">
                  <c:v>0.73472299654983764</c:v>
                </c:pt>
                <c:pt idx="26" formatCode="0.0%">
                  <c:v>0.73472299654983764</c:v>
                </c:pt>
                <c:pt idx="27" formatCode="0.0%">
                  <c:v>0.73472299654983764</c:v>
                </c:pt>
                <c:pt idx="28" formatCode="0.0%">
                  <c:v>0.73472299654983764</c:v>
                </c:pt>
                <c:pt idx="29" formatCode="0.0%">
                  <c:v>0.73472299654983764</c:v>
                </c:pt>
                <c:pt idx="30" formatCode="0.0%">
                  <c:v>0.73472299654983764</c:v>
                </c:pt>
                <c:pt idx="31" formatCode="0.0%">
                  <c:v>0.73472299654983764</c:v>
                </c:pt>
                <c:pt idx="32" formatCode="0.0%">
                  <c:v>0.73472299654983764</c:v>
                </c:pt>
                <c:pt idx="33" formatCode="0.0%">
                  <c:v>0.73472299654983764</c:v>
                </c:pt>
                <c:pt idx="34" formatCode="0.0%">
                  <c:v>0.73472299654983764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2C-3D49-B1B9-F9AF9B789D9F}"/>
            </c:ext>
          </c:extLst>
        </c:ser>
        <c:ser>
          <c:idx val="3"/>
          <c:order val="4"/>
          <c:tx>
            <c:strRef>
              <c:f>'Two Stage Value Driver Model'!$C$88</c:f>
              <c:strCache>
                <c:ptCount val="1"/>
                <c:pt idx="0">
                  <c:v>ROIC Two Stage Value Driver</c:v>
                </c:pt>
              </c:strCache>
            </c:strRef>
          </c:tx>
          <c:spPr>
            <a:ln w="28575" cap="rnd">
              <a:solidFill>
                <a:srgbClr val="98C51E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'Two Stage Value Driver Model'!$N$82:$AV$82</c:f>
              <c:numCache>
                <c:formatCode>"Year "#,##0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'Two Stage Value Driver Model'!$N$88:$AV$88</c:f>
              <c:numCache>
                <c:formatCode>0.0%</c:formatCode>
                <c:ptCount val="35"/>
                <c:pt idx="0">
                  <c:v>0.28761379679436305</c:v>
                </c:pt>
                <c:pt idx="1">
                  <c:v>0.44169988538212279</c:v>
                </c:pt>
                <c:pt idx="2">
                  <c:v>0.58709386911585382</c:v>
                </c:pt>
                <c:pt idx="3">
                  <c:v>0.66768040201824275</c:v>
                </c:pt>
                <c:pt idx="4">
                  <c:v>0.73472299654983764</c:v>
                </c:pt>
                <c:pt idx="5">
                  <c:v>0.73189811656517167</c:v>
                </c:pt>
                <c:pt idx="6">
                  <c:v>0.7234234766111739</c:v>
                </c:pt>
                <c:pt idx="7">
                  <c:v>0.70929907668784409</c:v>
                </c:pt>
                <c:pt idx="8">
                  <c:v>0.68952491679518246</c:v>
                </c:pt>
                <c:pt idx="9">
                  <c:v>0.66410099693318903</c:v>
                </c:pt>
                <c:pt idx="10">
                  <c:v>0.63302731710186366</c:v>
                </c:pt>
                <c:pt idx="11">
                  <c:v>0.59630387730120638</c:v>
                </c:pt>
                <c:pt idx="12">
                  <c:v>0.55393067753121716</c:v>
                </c:pt>
                <c:pt idx="13">
                  <c:v>0.50590771779189614</c:v>
                </c:pt>
                <c:pt idx="14">
                  <c:v>0.45223499808324313</c:v>
                </c:pt>
                <c:pt idx="15">
                  <c:v>0.39291251840525832</c:v>
                </c:pt>
                <c:pt idx="16">
                  <c:v>0.32794027875794157</c:v>
                </c:pt>
                <c:pt idx="17">
                  <c:v>0.25731827914129296</c:v>
                </c:pt>
                <c:pt idx="18">
                  <c:v>0.18104651955531248</c:v>
                </c:pt>
                <c:pt idx="19">
                  <c:v>9.9124999999999991E-2</c:v>
                </c:pt>
                <c:pt idx="20">
                  <c:v>9.9124999999999991E-2</c:v>
                </c:pt>
                <c:pt idx="21">
                  <c:v>9.9124999999999991E-2</c:v>
                </c:pt>
                <c:pt idx="22">
                  <c:v>9.9124999999999991E-2</c:v>
                </c:pt>
                <c:pt idx="23">
                  <c:v>9.9124999999999991E-2</c:v>
                </c:pt>
                <c:pt idx="24">
                  <c:v>9.9124999999999991E-2</c:v>
                </c:pt>
                <c:pt idx="25">
                  <c:v>9.9124999999999991E-2</c:v>
                </c:pt>
                <c:pt idx="26">
                  <c:v>9.9124999999999991E-2</c:v>
                </c:pt>
                <c:pt idx="27">
                  <c:v>9.9124999999999991E-2</c:v>
                </c:pt>
                <c:pt idx="28">
                  <c:v>9.9124999999999991E-2</c:v>
                </c:pt>
                <c:pt idx="29">
                  <c:v>9.9124999999999991E-2</c:v>
                </c:pt>
                <c:pt idx="30">
                  <c:v>9.9124999999999991E-2</c:v>
                </c:pt>
                <c:pt idx="31">
                  <c:v>9.9124999999999991E-2</c:v>
                </c:pt>
                <c:pt idx="32">
                  <c:v>9.9124999999999991E-2</c:v>
                </c:pt>
                <c:pt idx="33">
                  <c:v>9.9124999999999991E-2</c:v>
                </c:pt>
                <c:pt idx="34">
                  <c:v>9.9124999999999991E-2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C-3D49-B1B9-F9AF9B789D9F}"/>
            </c:ext>
          </c:extLst>
        </c:ser>
        <c:ser>
          <c:idx val="5"/>
          <c:order val="5"/>
          <c:tx>
            <c:strRef>
              <c:f>'Two Stage Value Driver Model'!$C$89</c:f>
              <c:strCache>
                <c:ptCount val="1"/>
                <c:pt idx="0">
                  <c:v>Discount Rate (WACC)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'Two Stage Value Driver Model'!$N$82:$AV$82</c:f>
              <c:numCache>
                <c:formatCode>"Year "#,##0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'Two Stage Value Driver Model'!$N$89:$AV$89</c:f>
              <c:numCache>
                <c:formatCode>0.0%</c:formatCode>
                <c:ptCount val="35"/>
                <c:pt idx="0">
                  <c:v>9.9124999999999991E-2</c:v>
                </c:pt>
                <c:pt idx="1">
                  <c:v>9.9124999999999991E-2</c:v>
                </c:pt>
                <c:pt idx="2">
                  <c:v>9.9124999999999991E-2</c:v>
                </c:pt>
                <c:pt idx="3">
                  <c:v>9.9124999999999991E-2</c:v>
                </c:pt>
                <c:pt idx="4">
                  <c:v>9.9124999999999991E-2</c:v>
                </c:pt>
                <c:pt idx="5">
                  <c:v>9.9124999999999991E-2</c:v>
                </c:pt>
                <c:pt idx="6">
                  <c:v>9.9124999999999991E-2</c:v>
                </c:pt>
                <c:pt idx="7">
                  <c:v>9.9124999999999991E-2</c:v>
                </c:pt>
                <c:pt idx="8">
                  <c:v>9.9124999999999991E-2</c:v>
                </c:pt>
                <c:pt idx="9">
                  <c:v>9.9124999999999991E-2</c:v>
                </c:pt>
                <c:pt idx="10">
                  <c:v>9.9124999999999991E-2</c:v>
                </c:pt>
                <c:pt idx="11">
                  <c:v>9.9124999999999991E-2</c:v>
                </c:pt>
                <c:pt idx="12">
                  <c:v>9.9124999999999991E-2</c:v>
                </c:pt>
                <c:pt idx="13">
                  <c:v>9.9124999999999991E-2</c:v>
                </c:pt>
                <c:pt idx="14">
                  <c:v>9.9124999999999991E-2</c:v>
                </c:pt>
                <c:pt idx="15">
                  <c:v>9.9124999999999991E-2</c:v>
                </c:pt>
                <c:pt idx="16">
                  <c:v>9.9124999999999991E-2</c:v>
                </c:pt>
                <c:pt idx="17">
                  <c:v>9.9124999999999991E-2</c:v>
                </c:pt>
                <c:pt idx="18">
                  <c:v>9.9124999999999991E-2</c:v>
                </c:pt>
                <c:pt idx="19">
                  <c:v>9.9124999999999991E-2</c:v>
                </c:pt>
                <c:pt idx="20">
                  <c:v>9.9124999999999991E-2</c:v>
                </c:pt>
                <c:pt idx="21">
                  <c:v>9.9124999999999991E-2</c:v>
                </c:pt>
                <c:pt idx="22">
                  <c:v>9.9124999999999991E-2</c:v>
                </c:pt>
                <c:pt idx="23">
                  <c:v>9.9124999999999991E-2</c:v>
                </c:pt>
                <c:pt idx="24">
                  <c:v>9.9124999999999991E-2</c:v>
                </c:pt>
                <c:pt idx="25">
                  <c:v>9.9124999999999991E-2</c:v>
                </c:pt>
                <c:pt idx="26">
                  <c:v>9.9124999999999991E-2</c:v>
                </c:pt>
                <c:pt idx="27">
                  <c:v>9.9124999999999991E-2</c:v>
                </c:pt>
                <c:pt idx="28">
                  <c:v>9.9124999999999991E-2</c:v>
                </c:pt>
                <c:pt idx="29">
                  <c:v>9.9124999999999991E-2</c:v>
                </c:pt>
                <c:pt idx="30">
                  <c:v>9.9124999999999991E-2</c:v>
                </c:pt>
                <c:pt idx="31">
                  <c:v>9.9124999999999991E-2</c:v>
                </c:pt>
                <c:pt idx="32">
                  <c:v>9.9124999999999991E-2</c:v>
                </c:pt>
                <c:pt idx="33">
                  <c:v>9.9124999999999991E-2</c:v>
                </c:pt>
                <c:pt idx="34">
                  <c:v>9.9124999999999991E-2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2C-3D49-B1B9-F9AF9B789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469664"/>
        <c:axId val="729467216"/>
      </c:lineChart>
      <c:catAx>
        <c:axId val="6215788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5546976"/>
        <c:crosses val="autoZero"/>
        <c:auto val="1"/>
        <c:lblAlgn val="ctr"/>
        <c:lblOffset val="100"/>
        <c:noMultiLvlLbl val="0"/>
      </c:catAx>
      <c:valAx>
        <c:axId val="755469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157888"/>
        <c:crosses val="autoZero"/>
        <c:crossBetween val="between"/>
      </c:valAx>
      <c:valAx>
        <c:axId val="729467216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29469664"/>
        <c:crosses val="max"/>
        <c:crossBetween val="between"/>
      </c:valAx>
      <c:catAx>
        <c:axId val="729469664"/>
        <c:scaling>
          <c:orientation val="minMax"/>
        </c:scaling>
        <c:delete val="1"/>
        <c:axPos val="b"/>
        <c:numFmt formatCode="&quot;Year &quot;#,##0" sourceLinked="1"/>
        <c:majorTickMark val="out"/>
        <c:minorTickMark val="none"/>
        <c:tickLblPos val="nextTo"/>
        <c:crossAx val="729467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409230143884819E-2"/>
          <c:y val="2.0734621110265273E-3"/>
          <c:w val="0.89068708153536325"/>
          <c:h val="4.4712941409191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Financials!$E$211" lockText="1" noThreeD="1"/>
</file>

<file path=xl/ctrlProps/ctrlProp2.xml><?xml version="1.0" encoding="utf-8"?>
<formControlPr xmlns="http://schemas.microsoft.com/office/spreadsheetml/2009/9/main" objectType="CheckBox" checked="Checked" fmlaLink="Financials!$E$212" lockText="1" noThreeD="1"/>
</file>

<file path=xl/ctrlProps/ctrlProp3.xml><?xml version="1.0" encoding="utf-8"?>
<formControlPr xmlns="http://schemas.microsoft.com/office/spreadsheetml/2009/9/main" objectType="CheckBox" checked="Checked" fmlaLink="Financials!$E$214" lockText="1" noThreeD="1"/>
</file>

<file path=xl/ctrlProps/ctrlProp4.xml><?xml version="1.0" encoding="utf-8"?>
<formControlPr xmlns="http://schemas.microsoft.com/office/spreadsheetml/2009/9/main" objectType="CheckBox" checked="Checked" fmlaLink="Financials!$E$218" lockText="1" noThreeD="1"/>
</file>

<file path=xl/ctrlProps/ctrlProp5.xml><?xml version="1.0" encoding="utf-8"?>
<formControlPr xmlns="http://schemas.microsoft.com/office/spreadsheetml/2009/9/main" objectType="CheckBox" checked="Checked" fmlaLink="Financials!$E$219" lockText="1" noThreeD="1"/>
</file>

<file path=xl/ctrlProps/ctrlProp6.xml><?xml version="1.0" encoding="utf-8"?>
<formControlPr xmlns="http://schemas.microsoft.com/office/spreadsheetml/2009/9/main" objectType="CheckBox" checked="Checked" fmlaLink="Financials!$E$221" lockText="1" noThreeD="1"/>
</file>

<file path=xl/ctrlProps/ctrlProp7.xml><?xml version="1.0" encoding="utf-8"?>
<formControlPr xmlns="http://schemas.microsoft.com/office/spreadsheetml/2009/9/main" objectType="CheckBox" checked="Checked" fmlaLink="Financials!$E$222" lockText="1" noThreeD="1"/>
</file>

<file path=xl/ctrlProps/ctrlProp8.xml><?xml version="1.0" encoding="utf-8"?>
<formControlPr xmlns="http://schemas.microsoft.com/office/spreadsheetml/2009/9/main" objectType="CheckBox" checked="Checked" fmlaLink="Financials!$E$223" lockText="1" noThreeD="1"/>
</file>

<file path=xl/ctrlProps/ctrlProp9.xml><?xml version="1.0" encoding="utf-8"?>
<formControlPr xmlns="http://schemas.microsoft.com/office/spreadsheetml/2009/9/main" objectType="CheckBox" checked="Checked" fmlaLink="Financials!$E$224" lockText="1" noThreeD="1"/>
</file>

<file path=xl/ctrlProps/ctrlProp10.xml><?xml version="1.0" encoding="utf-8"?>
<formControlPr xmlns="http://schemas.microsoft.com/office/spreadsheetml/2009/9/main" objectType="CheckBox" checked="Checked" fmlaLink="Financials!$E$225" lockText="1" noThreeD="1"/>
</file>

<file path=xl/ctrlProps/ctrlProp11.xml><?xml version="1.0" encoding="utf-8"?>
<formControlPr xmlns="http://schemas.microsoft.com/office/spreadsheetml/2009/9/main" objectType="CheckBox" checked="Checked" fmlaLink="Financials!$E$226" lockText="1" noThreeD="1"/>
</file>

<file path=xl/ctrlProps/ctrlProp12.xml><?xml version="1.0" encoding="utf-8"?>
<formControlPr xmlns="http://schemas.microsoft.com/office/spreadsheetml/2009/9/main" objectType="CheckBox" checked="Checked" fmlaLink="Financials!$E$227" lockText="1" noThreeD="1"/>
</file>

<file path=xl/ctrlProps/ctrlProp13.xml><?xml version="1.0" encoding="utf-8"?>
<formControlPr xmlns="http://schemas.microsoft.com/office/spreadsheetml/2009/9/main" objectType="CheckBox" checked="Checked" fmlaLink="Financials!$E$228" lockText="1" noThreeD="1"/>
</file>

<file path=xl/ctrlProps/ctrlProp14.xml><?xml version="1.0" encoding="utf-8"?>
<formControlPr xmlns="http://schemas.microsoft.com/office/spreadsheetml/2009/9/main" objectType="CheckBox" checked="Checked" fmlaLink="Financials!$E$229" lockText="1" noThreeD="1"/>
</file>

<file path=xl/ctrlProps/ctrlProp15.xml><?xml version="1.0" encoding="utf-8"?>
<formControlPr xmlns="http://schemas.microsoft.com/office/spreadsheetml/2009/9/main" objectType="CheckBox" checked="Checked" fmlaLink="Financials!$E$230" lockText="1" noThreeD="1"/>
</file>

<file path=xl/ctrlProps/ctrlProp16.xml><?xml version="1.0" encoding="utf-8"?>
<formControlPr xmlns="http://schemas.microsoft.com/office/spreadsheetml/2009/9/main" objectType="CheckBox" checked="Checked" fmlaLink="Financials!$E$199" lockText="1" noThreeD="1"/>
</file>

<file path=xl/ctrlProps/ctrlProp17.xml><?xml version="1.0" encoding="utf-8"?>
<formControlPr xmlns="http://schemas.microsoft.com/office/spreadsheetml/2009/9/main" objectType="CheckBox" checked="Checked" fmlaLink="Financials!$E$200" lockText="1" noThreeD="1"/>
</file>

<file path=xl/ctrlProps/ctrlProp18.xml><?xml version="1.0" encoding="utf-8"?>
<formControlPr xmlns="http://schemas.microsoft.com/office/spreadsheetml/2009/9/main" objectType="CheckBox" checked="Checked" fmlaLink="Financials!$E$202" lockText="1" noThreeD="1"/>
</file>

<file path=xl/ctrlProps/ctrlProp19.xml><?xml version="1.0" encoding="utf-8"?>
<formControlPr xmlns="http://schemas.microsoft.com/office/spreadsheetml/2009/9/main" objectType="CheckBox" checked="Checked" fmlaLink="Financials!$E$201" lockText="1" noThreeD="1"/>
</file>

<file path=xl/ctrlProps/ctrlProp20.xml><?xml version="1.0" encoding="utf-8"?>
<formControlPr xmlns="http://schemas.microsoft.com/office/spreadsheetml/2009/9/main" objectType="CheckBox" checked="Checked" fmlaLink="Financials!$E$203" lockText="1" noThreeD="1"/>
</file>

<file path=xl/ctrlProps/ctrlProp21.xml><?xml version="1.0" encoding="utf-8"?>
<formControlPr xmlns="http://schemas.microsoft.com/office/spreadsheetml/2009/9/main" objectType="CheckBox" checked="Checked" fmlaLink="Financials!$E$206" lockText="1" noThreeD="1"/>
</file>

<file path=xl/ctrlProps/ctrlProp22.xml><?xml version="1.0" encoding="utf-8"?>
<formControlPr xmlns="http://schemas.microsoft.com/office/spreadsheetml/2009/9/main" objectType="CheckBox" checked="Checked" fmlaLink="Financials!$E$207" lockText="1" noThreeD="1"/>
</file>

<file path=xl/ctrlProps/ctrlProp23.xml><?xml version="1.0" encoding="utf-8"?>
<formControlPr xmlns="http://schemas.microsoft.com/office/spreadsheetml/2009/9/main" objectType="CheckBox" checked="Checked" fmlaLink="Financials!$E$208" lockText="1" noThreeD="1"/>
</file>

<file path=xl/ctrlProps/ctrlProp24.xml><?xml version="1.0" encoding="utf-8"?>
<formControlPr xmlns="http://schemas.microsoft.com/office/spreadsheetml/2009/9/main" objectType="CheckBox" checked="Checked" fmlaLink="$I$84" lockText="1" noThreeD="1"/>
</file>

<file path=xl/ctrlProps/ctrlProp25.xml><?xml version="1.0" encoding="utf-8"?>
<formControlPr xmlns="http://schemas.microsoft.com/office/spreadsheetml/2009/9/main" objectType="CheckBox" checked="Checked" fmlaLink="$I$85" lockText="1" noThreeD="1"/>
</file>

<file path=xl/ctrlProps/ctrlProp26.xml><?xml version="1.0" encoding="utf-8"?>
<formControlPr xmlns="http://schemas.microsoft.com/office/spreadsheetml/2009/9/main" objectType="CheckBox" checked="Checked" fmlaLink="$I$86" lockText="1" noThreeD="1"/>
</file>

<file path=xl/ctrlProps/ctrlProp27.xml><?xml version="1.0" encoding="utf-8"?>
<formControlPr xmlns="http://schemas.microsoft.com/office/spreadsheetml/2009/9/main" objectType="CheckBox" checked="Checked" fmlaLink="$I$87" lockText="1" noThreeD="1"/>
</file>

<file path=xl/ctrlProps/ctrlProp28.xml><?xml version="1.0" encoding="utf-8"?>
<formControlPr xmlns="http://schemas.microsoft.com/office/spreadsheetml/2009/9/main" objectType="CheckBox" checked="Checked" fmlaLink="$I$88" lockText="1" noThreeD="1"/>
</file>

<file path=xl/ctrlProps/ctrlProp29.xml><?xml version="1.0" encoding="utf-8"?>
<formControlPr xmlns="http://schemas.microsoft.com/office/spreadsheetml/2009/9/main" objectType="CheckBox" checked="Checked" fmlaLink="$I$89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financialmodels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financialmodels.com/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chart" Target="../charts/chart6.xml"/><Relationship Id="rId1" Type="http://schemas.openxmlformats.org/officeDocument/2006/relationships/image" Target="../media/image2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199571</xdr:colOff>
      <xdr:row>81</xdr:row>
      <xdr:rowOff>50800</xdr:rowOff>
    </xdr:from>
    <xdr:to>
      <xdr:col>22</xdr:col>
      <xdr:colOff>46692</xdr:colOff>
      <xdr:row>101</xdr:row>
      <xdr:rowOff>84665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59763</xdr:colOff>
      <xdr:row>56</xdr:row>
      <xdr:rowOff>0</xdr:rowOff>
    </xdr:from>
    <xdr:to>
      <xdr:col>11</xdr:col>
      <xdr:colOff>10583</xdr:colOff>
      <xdr:row>70</xdr:row>
      <xdr:rowOff>149412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602553</xdr:colOff>
          <xdr:row>70</xdr:row>
          <xdr:rowOff>142710</xdr:rowOff>
        </xdr:from>
        <xdr:to>
          <xdr:col>2</xdr:col>
          <xdr:colOff>866830</xdr:colOff>
          <xdr:row>72</xdr:row>
          <xdr:rowOff>36999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602553</xdr:colOff>
          <xdr:row>71</xdr:row>
          <xdr:rowOff>142710</xdr:rowOff>
        </xdr:from>
        <xdr:to>
          <xdr:col>2</xdr:col>
          <xdr:colOff>866830</xdr:colOff>
          <xdr:row>73</xdr:row>
          <xdr:rowOff>36999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618409</xdr:colOff>
          <xdr:row>70</xdr:row>
          <xdr:rowOff>142710</xdr:rowOff>
        </xdr:from>
        <xdr:to>
          <xdr:col>5</xdr:col>
          <xdr:colOff>887972</xdr:colOff>
          <xdr:row>72</xdr:row>
          <xdr:rowOff>36999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618409</xdr:colOff>
          <xdr:row>71</xdr:row>
          <xdr:rowOff>142710</xdr:rowOff>
        </xdr:from>
        <xdr:to>
          <xdr:col>6</xdr:col>
          <xdr:colOff>10571</xdr:colOff>
          <xdr:row>73</xdr:row>
          <xdr:rowOff>36999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618409</xdr:colOff>
          <xdr:row>70</xdr:row>
          <xdr:rowOff>153281</xdr:rowOff>
        </xdr:from>
        <xdr:to>
          <xdr:col>9</xdr:col>
          <xdr:colOff>10571</xdr:colOff>
          <xdr:row>72</xdr:row>
          <xdr:rowOff>47570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14941</xdr:colOff>
      <xdr:row>56</xdr:row>
      <xdr:rowOff>44822</xdr:rowOff>
    </xdr:from>
    <xdr:to>
      <xdr:col>21</xdr:col>
      <xdr:colOff>762000</xdr:colOff>
      <xdr:row>71</xdr:row>
      <xdr:rowOff>119529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618409</xdr:colOff>
          <xdr:row>71</xdr:row>
          <xdr:rowOff>142710</xdr:rowOff>
        </xdr:from>
        <xdr:to>
          <xdr:col>13</xdr:col>
          <xdr:colOff>887972</xdr:colOff>
          <xdr:row>73</xdr:row>
          <xdr:rowOff>36999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618409</xdr:colOff>
          <xdr:row>71</xdr:row>
          <xdr:rowOff>153281</xdr:rowOff>
        </xdr:from>
        <xdr:to>
          <xdr:col>16</xdr:col>
          <xdr:colOff>887972</xdr:colOff>
          <xdr:row>73</xdr:row>
          <xdr:rowOff>47570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618409</xdr:colOff>
          <xdr:row>71</xdr:row>
          <xdr:rowOff>153281</xdr:rowOff>
        </xdr:from>
        <xdr:to>
          <xdr:col>19</xdr:col>
          <xdr:colOff>887972</xdr:colOff>
          <xdr:row>73</xdr:row>
          <xdr:rowOff>47570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560268</xdr:colOff>
          <xdr:row>98</xdr:row>
          <xdr:rowOff>116282</xdr:rowOff>
        </xdr:from>
        <xdr:to>
          <xdr:col>2</xdr:col>
          <xdr:colOff>819260</xdr:colOff>
          <xdr:row>100</xdr:row>
          <xdr:rowOff>36999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544412</xdr:colOff>
          <xdr:row>98</xdr:row>
          <xdr:rowOff>105711</xdr:rowOff>
        </xdr:from>
        <xdr:to>
          <xdr:col>5</xdr:col>
          <xdr:colOff>819260</xdr:colOff>
          <xdr:row>100</xdr:row>
          <xdr:rowOff>21142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45357</xdr:colOff>
      <xdr:row>103</xdr:row>
      <xdr:rowOff>18144</xdr:rowOff>
    </xdr:from>
    <xdr:to>
      <xdr:col>21</xdr:col>
      <xdr:colOff>866589</xdr:colOff>
      <xdr:row>131</xdr:row>
      <xdr:rowOff>59766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618409</xdr:colOff>
          <xdr:row>131</xdr:row>
          <xdr:rowOff>153281</xdr:rowOff>
        </xdr:from>
        <xdr:to>
          <xdr:col>2</xdr:col>
          <xdr:colOff>887972</xdr:colOff>
          <xdr:row>133</xdr:row>
          <xdr:rowOff>47570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618409</xdr:colOff>
          <xdr:row>132</xdr:row>
          <xdr:rowOff>153281</xdr:rowOff>
        </xdr:from>
        <xdr:to>
          <xdr:col>2</xdr:col>
          <xdr:colOff>887972</xdr:colOff>
          <xdr:row>134</xdr:row>
          <xdr:rowOff>47570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618409</xdr:colOff>
          <xdr:row>131</xdr:row>
          <xdr:rowOff>153281</xdr:rowOff>
        </xdr:from>
        <xdr:to>
          <xdr:col>4</xdr:col>
          <xdr:colOff>887972</xdr:colOff>
          <xdr:row>133</xdr:row>
          <xdr:rowOff>47570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618409</xdr:colOff>
          <xdr:row>132</xdr:row>
          <xdr:rowOff>163852</xdr:rowOff>
        </xdr:from>
        <xdr:to>
          <xdr:col>5</xdr:col>
          <xdr:colOff>10571</xdr:colOff>
          <xdr:row>134</xdr:row>
          <xdr:rowOff>47570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618409</xdr:colOff>
          <xdr:row>131</xdr:row>
          <xdr:rowOff>153281</xdr:rowOff>
        </xdr:from>
        <xdr:to>
          <xdr:col>6</xdr:col>
          <xdr:colOff>887972</xdr:colOff>
          <xdr:row>133</xdr:row>
          <xdr:rowOff>36999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618409</xdr:colOff>
          <xdr:row>132</xdr:row>
          <xdr:rowOff>163852</xdr:rowOff>
        </xdr:from>
        <xdr:to>
          <xdr:col>7</xdr:col>
          <xdr:colOff>10571</xdr:colOff>
          <xdr:row>134</xdr:row>
          <xdr:rowOff>36999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607838</xdr:colOff>
          <xdr:row>131</xdr:row>
          <xdr:rowOff>163852</xdr:rowOff>
        </xdr:from>
        <xdr:to>
          <xdr:col>10</xdr:col>
          <xdr:colOff>887972</xdr:colOff>
          <xdr:row>133</xdr:row>
          <xdr:rowOff>36999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2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607838</xdr:colOff>
          <xdr:row>132</xdr:row>
          <xdr:rowOff>163852</xdr:rowOff>
        </xdr:from>
        <xdr:to>
          <xdr:col>11</xdr:col>
          <xdr:colOff>10571</xdr:colOff>
          <xdr:row>134</xdr:row>
          <xdr:rowOff>36999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2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570839</xdr:colOff>
          <xdr:row>131</xdr:row>
          <xdr:rowOff>153281</xdr:rowOff>
        </xdr:from>
        <xdr:to>
          <xdr:col>15</xdr:col>
          <xdr:colOff>877401</xdr:colOff>
          <xdr:row>133</xdr:row>
          <xdr:rowOff>26428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2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560268</xdr:colOff>
          <xdr:row>132</xdr:row>
          <xdr:rowOff>163852</xdr:rowOff>
        </xdr:from>
        <xdr:to>
          <xdr:col>15</xdr:col>
          <xdr:colOff>877401</xdr:colOff>
          <xdr:row>134</xdr:row>
          <xdr:rowOff>26428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560268</xdr:colOff>
          <xdr:row>131</xdr:row>
          <xdr:rowOff>163852</xdr:rowOff>
        </xdr:from>
        <xdr:to>
          <xdr:col>19</xdr:col>
          <xdr:colOff>887972</xdr:colOff>
          <xdr:row>133</xdr:row>
          <xdr:rowOff>26428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2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560268</xdr:colOff>
          <xdr:row>132</xdr:row>
          <xdr:rowOff>179709</xdr:rowOff>
        </xdr:from>
        <xdr:to>
          <xdr:col>20</xdr:col>
          <xdr:colOff>10571</xdr:colOff>
          <xdr:row>134</xdr:row>
          <xdr:rowOff>36999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523269</xdr:colOff>
          <xdr:row>98</xdr:row>
          <xdr:rowOff>142710</xdr:rowOff>
        </xdr:from>
        <xdr:to>
          <xdr:col>8</xdr:col>
          <xdr:colOff>782261</xdr:colOff>
          <xdr:row>100</xdr:row>
          <xdr:rowOff>58141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2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84666</xdr:colOff>
      <xdr:row>80</xdr:row>
      <xdr:rowOff>84667</xdr:rowOff>
    </xdr:from>
    <xdr:to>
      <xdr:col>11</xdr:col>
      <xdr:colOff>16933</xdr:colOff>
      <xdr:row>98</xdr:row>
      <xdr:rowOff>67733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101</xdr:row>
      <xdr:rowOff>76200</xdr:rowOff>
    </xdr:from>
    <xdr:to>
      <xdr:col>4</xdr:col>
      <xdr:colOff>728345</xdr:colOff>
      <xdr:row>103</xdr:row>
      <xdr:rowOff>111267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786" y="15307129"/>
          <a:ext cx="2580821" cy="3597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59</xdr:row>
      <xdr:rowOff>114300</xdr:rowOff>
    </xdr:from>
    <xdr:to>
      <xdr:col>6</xdr:col>
      <xdr:colOff>76200</xdr:colOff>
      <xdr:row>61</xdr:row>
      <xdr:rowOff>122061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10490200"/>
          <a:ext cx="2578100" cy="3887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7</xdr:row>
      <xdr:rowOff>12700</xdr:rowOff>
    </xdr:from>
    <xdr:to>
      <xdr:col>4</xdr:col>
      <xdr:colOff>609600</xdr:colOff>
      <xdr:row>10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5422900"/>
          <a:ext cx="2247900" cy="698500"/>
        </a:xfrm>
        <a:prstGeom prst="rect">
          <a:avLst/>
        </a:prstGeom>
      </xdr:spPr>
    </xdr:pic>
    <xdr:clientData/>
  </xdr:twoCellAnchor>
  <xdr:twoCellAnchor>
    <xdr:from>
      <xdr:col>10</xdr:col>
      <xdr:colOff>1336221</xdr:colOff>
      <xdr:row>44</xdr:row>
      <xdr:rowOff>72572</xdr:rowOff>
    </xdr:from>
    <xdr:to>
      <xdr:col>17</xdr:col>
      <xdr:colOff>847271</xdr:colOff>
      <xdr:row>65</xdr:row>
      <xdr:rowOff>34472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58821</xdr:colOff>
      <xdr:row>44</xdr:row>
      <xdr:rowOff>669</xdr:rowOff>
    </xdr:from>
    <xdr:to>
      <xdr:col>6</xdr:col>
      <xdr:colOff>740514</xdr:colOff>
      <xdr:row>47</xdr:row>
      <xdr:rowOff>670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3163" y="10745537"/>
          <a:ext cx="3956956" cy="551448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24</xdr:row>
      <xdr:rowOff>76200</xdr:rowOff>
    </xdr:from>
    <xdr:to>
      <xdr:col>4</xdr:col>
      <xdr:colOff>355600</xdr:colOff>
      <xdr:row>27</xdr:row>
      <xdr:rowOff>113482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9105900"/>
          <a:ext cx="1943100" cy="608782"/>
        </a:xfrm>
        <a:prstGeom prst="rect">
          <a:avLst/>
        </a:prstGeom>
      </xdr:spPr>
    </xdr:pic>
    <xdr:clientData/>
  </xdr:twoCellAnchor>
  <xdr:twoCellAnchor>
    <xdr:from>
      <xdr:col>10</xdr:col>
      <xdr:colOff>661689</xdr:colOff>
      <xdr:row>85</xdr:row>
      <xdr:rowOff>167058</xdr:rowOff>
    </xdr:from>
    <xdr:to>
      <xdr:col>18</xdr:col>
      <xdr:colOff>692771</xdr:colOff>
      <xdr:row>107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20320</xdr:colOff>
      <xdr:row>121</xdr:row>
      <xdr:rowOff>21771</xdr:rowOff>
    </xdr:from>
    <xdr:to>
      <xdr:col>18</xdr:col>
      <xdr:colOff>670561</xdr:colOff>
      <xdr:row>141</xdr:row>
      <xdr:rowOff>152399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158749</xdr:colOff>
      <xdr:row>85</xdr:row>
      <xdr:rowOff>19050</xdr:rowOff>
    </xdr:from>
    <xdr:to>
      <xdr:col>5</xdr:col>
      <xdr:colOff>447220</xdr:colOff>
      <xdr:row>86</xdr:row>
      <xdr:rowOff>31750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" y="16287750"/>
          <a:ext cx="2764971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87</xdr:row>
      <xdr:rowOff>57150</xdr:rowOff>
    </xdr:from>
    <xdr:to>
      <xdr:col>5</xdr:col>
      <xdr:colOff>368300</xdr:colOff>
      <xdr:row>89</xdr:row>
      <xdr:rowOff>101600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16706850"/>
          <a:ext cx="263525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51</xdr:row>
      <xdr:rowOff>71120</xdr:rowOff>
    </xdr:from>
    <xdr:to>
      <xdr:col>31</xdr:col>
      <xdr:colOff>783951</xdr:colOff>
      <xdr:row>78</xdr:row>
      <xdr:rowOff>100263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343561</xdr:colOff>
          <xdr:row>64</xdr:row>
          <xdr:rowOff>121568</xdr:rowOff>
        </xdr:from>
        <xdr:to>
          <xdr:col>2</xdr:col>
          <xdr:colOff>618409</xdr:colOff>
          <xdr:row>66</xdr:row>
          <xdr:rowOff>10571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7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343561</xdr:colOff>
          <xdr:row>65</xdr:row>
          <xdr:rowOff>116282</xdr:rowOff>
        </xdr:from>
        <xdr:to>
          <xdr:col>2</xdr:col>
          <xdr:colOff>618409</xdr:colOff>
          <xdr:row>67</xdr:row>
          <xdr:rowOff>10571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7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343561</xdr:colOff>
          <xdr:row>66</xdr:row>
          <xdr:rowOff>121568</xdr:rowOff>
        </xdr:from>
        <xdr:to>
          <xdr:col>2</xdr:col>
          <xdr:colOff>618409</xdr:colOff>
          <xdr:row>68</xdr:row>
          <xdr:rowOff>26428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7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343561</xdr:colOff>
          <xdr:row>67</xdr:row>
          <xdr:rowOff>142710</xdr:rowOff>
        </xdr:from>
        <xdr:to>
          <xdr:col>2</xdr:col>
          <xdr:colOff>618409</xdr:colOff>
          <xdr:row>69</xdr:row>
          <xdr:rowOff>36999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7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343561</xdr:colOff>
          <xdr:row>68</xdr:row>
          <xdr:rowOff>121568</xdr:rowOff>
        </xdr:from>
        <xdr:to>
          <xdr:col>2</xdr:col>
          <xdr:colOff>618409</xdr:colOff>
          <xdr:row>70</xdr:row>
          <xdr:rowOff>26428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7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343561</xdr:colOff>
          <xdr:row>69</xdr:row>
          <xdr:rowOff>121568</xdr:rowOff>
        </xdr:from>
        <xdr:to>
          <xdr:col>2</xdr:col>
          <xdr:colOff>618409</xdr:colOff>
          <xdr:row>71</xdr:row>
          <xdr:rowOff>26428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7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efinancialmodels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efinancialmodels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efinancialmodels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E3D-BB85-4BD9-984B-370E4112DD53}">
  <sheetPr>
    <tabColor theme="0" tint="-0.34998626667073579"/>
    <pageSetUpPr fitToPage="1"/>
  </sheetPr>
  <dimension ref="B1:B16"/>
  <sheetViews>
    <sheetView showGridLines="0" tabSelected="1" zoomScaleNormal="100" workbookViewId="0">
      <selection activeCell="A17" sqref="A17"/>
    </sheetView>
  </sheetViews>
  <sheetFormatPr defaultColWidth="11" defaultRowHeight="12.9" x14ac:dyDescent="0.35"/>
  <cols>
    <col min="1" max="1" width="2.9140625" style="9" customWidth="1"/>
    <col min="2" max="2" width="101" style="9" customWidth="1"/>
    <col min="3" max="3" width="4.83203125" style="9" customWidth="1"/>
    <col min="4" max="16384" width="11" style="9"/>
  </cols>
  <sheetData>
    <row r="1" spans="2:2" ht="13.35" thickBot="1" x14ac:dyDescent="0.4"/>
    <row r="2" spans="2:2" customFormat="1" x14ac:dyDescent="0.35">
      <c r="B2" s="883" t="s">
        <v>316</v>
      </c>
    </row>
    <row r="3" spans="2:2" customFormat="1" ht="13.35" thickBot="1" x14ac:dyDescent="0.4">
      <c r="B3" s="884"/>
    </row>
    <row r="4" spans="2:2" customFormat="1" ht="20.399999999999999" thickBot="1" x14ac:dyDescent="0.55000000000000004">
      <c r="B4" s="885" t="s">
        <v>317</v>
      </c>
    </row>
    <row r="5" spans="2:2" ht="75.05" customHeight="1" x14ac:dyDescent="0.35">
      <c r="B5" s="886" t="str">
        <f>Assumptions!E9</f>
        <v xml:space="preserve">DCF Valuation Model </v>
      </c>
    </row>
    <row r="6" spans="2:2" ht="14.15" customHeight="1" x14ac:dyDescent="0.35">
      <c r="B6" s="887"/>
    </row>
    <row r="7" spans="2:2" ht="14.15" customHeight="1" x14ac:dyDescent="0.35">
      <c r="B7" s="888" t="s">
        <v>41</v>
      </c>
    </row>
    <row r="8" spans="2:2" ht="14.15" customHeight="1" x14ac:dyDescent="0.35">
      <c r="B8" s="889" t="str">
        <f ca="1">HYPERLINK("#"&amp;CELL("address",Terms!$F$21),"Terms and Abbreviationss")</f>
        <v>Terms and Abbreviationss</v>
      </c>
    </row>
    <row r="9" spans="2:2" ht="14.15" customHeight="1" x14ac:dyDescent="0.35">
      <c r="B9" s="889" t="str">
        <f ca="1">HYPERLINK("#"&amp;CELL("address",'Executive Summary'!$F$10),"Executive Summary")</f>
        <v>Executive Summary</v>
      </c>
    </row>
    <row r="10" spans="2:2" ht="14.15" customHeight="1" x14ac:dyDescent="0.35">
      <c r="B10" s="889" t="str">
        <f ca="1">HYPERLINK("#"&amp;CELL("address",Assumptions!$G$14),"Assumptions")</f>
        <v>Assumptions</v>
      </c>
    </row>
    <row r="11" spans="2:2" ht="14.15" customHeight="1" x14ac:dyDescent="0.35">
      <c r="B11" s="889" t="str">
        <f ca="1">HYPERLINK("#"&amp;CELL("address",Financials!$K$31),"Financials")</f>
        <v>Financials</v>
      </c>
    </row>
    <row r="12" spans="2:2" ht="14.15" customHeight="1" x14ac:dyDescent="0.35">
      <c r="B12" s="889" t="str">
        <f ca="1">HYPERLINK("#"&amp;CELL("address",DCF!$M$51),"DCF")</f>
        <v>DCF</v>
      </c>
    </row>
    <row r="13" spans="2:2" ht="14.15" customHeight="1" x14ac:dyDescent="0.35">
      <c r="B13" s="889" t="str">
        <f ca="1">HYPERLINK("#"&amp;CELL("address",'Terminal Value'!$H$138),"Terminal Value")</f>
        <v>Terminal Value</v>
      </c>
    </row>
    <row r="14" spans="2:2" x14ac:dyDescent="0.35">
      <c r="B14" s="889" t="str">
        <f ca="1">HYPERLINK("#"&amp;CELL("address",'Two Stage Value Driver Model'!$R$47),"Two Stage Value Driver Model")</f>
        <v>Two Stage Value Driver Model</v>
      </c>
    </row>
    <row r="15" spans="2:2" ht="14.15" customHeight="1" thickBot="1" x14ac:dyDescent="0.4">
      <c r="B15" s="890"/>
    </row>
    <row r="16" spans="2:2" ht="21.95" customHeight="1" x14ac:dyDescent="0.35">
      <c r="B16" s="882"/>
    </row>
  </sheetData>
  <mergeCells count="1">
    <mergeCell ref="B2:B3"/>
  </mergeCells>
  <printOptions horizontalCentered="1"/>
  <pageMargins left="0.5" right="0.5" top="0.5" bottom="0.5" header="0.3" footer="0.3"/>
  <pageSetup paperSize="9" scale="82" orientation="portrait" r:id="rId1"/>
  <headerFooter>
    <oddFooter>&amp;L&amp;"Calibri,Regular"&amp;K000000Strictly private and confidential&amp;C&amp;"Calibri,Regular"&amp;K000000Page &amp;P of &amp;N&amp;R&amp;"Helvetica,Regular"&amp;8&amp;K000000&amp;F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E045-25BB-4F20-B1AD-5AED6C5AA6DA}">
  <sheetPr>
    <tabColor theme="0" tint="-0.34998626667073579"/>
    <pageSetUpPr fitToPage="1"/>
  </sheetPr>
  <dimension ref="A2:L68"/>
  <sheetViews>
    <sheetView showGridLines="0" zoomScale="110" zoomScaleNormal="110" workbookViewId="0">
      <pane ySplit="4" topLeftCell="A5" activePane="bottomLeft" state="frozen"/>
      <selection activeCell="C12" sqref="A1:XFD1048576"/>
      <selection pane="bottomLeft" activeCell="A2" sqref="A2"/>
    </sheetView>
  </sheetViews>
  <sheetFormatPr defaultColWidth="11" defaultRowHeight="12.9" x14ac:dyDescent="0.35"/>
  <cols>
    <col min="1" max="1" width="4.58203125" style="9" customWidth="1"/>
    <col min="2" max="2" width="1.58203125" style="9" customWidth="1"/>
    <col min="3" max="3" width="37.75" style="9" bestFit="1" customWidth="1"/>
    <col min="4" max="5" width="1.58203125" style="9" customWidth="1"/>
    <col min="6" max="10" width="21.1640625" style="9" customWidth="1"/>
    <col min="11" max="11" width="1.58203125" style="9" customWidth="1"/>
    <col min="12" max="12" width="4.58203125" style="9" customWidth="1"/>
    <col min="13" max="16384" width="11" style="9"/>
  </cols>
  <sheetData>
    <row r="2" spans="1:12" x14ac:dyDescent="0.35">
      <c r="B2" s="245" t="str">
        <f>Title!$B$5</f>
        <v xml:space="preserve">DCF Valuation Model </v>
      </c>
      <c r="C2" s="13"/>
      <c r="K2" s="131"/>
    </row>
    <row r="3" spans="1:12" x14ac:dyDescent="0.35">
      <c r="B3" s="702"/>
      <c r="C3" s="702"/>
      <c r="D3" s="702"/>
      <c r="E3" s="702"/>
      <c r="F3" s="36"/>
      <c r="G3" s="36"/>
      <c r="H3" s="36"/>
      <c r="I3" s="36"/>
      <c r="J3" s="36"/>
      <c r="K3" s="689"/>
    </row>
    <row r="5" spans="1:12" ht="25.8" x14ac:dyDescent="0.35">
      <c r="A5" s="19"/>
      <c r="B5" s="591"/>
      <c r="C5" s="591" t="s">
        <v>109</v>
      </c>
      <c r="F5" s="593"/>
    </row>
    <row r="6" spans="1:12" ht="8.15" customHeight="1" x14ac:dyDescent="0.35">
      <c r="A6" s="19"/>
      <c r="B6" s="592"/>
      <c r="C6" s="594"/>
      <c r="F6" s="593"/>
    </row>
    <row r="7" spans="1:12" s="599" customFormat="1" ht="14.15" customHeight="1" x14ac:dyDescent="0.35">
      <c r="A7" s="595"/>
      <c r="B7" s="596"/>
      <c r="C7" s="597" t="s">
        <v>110</v>
      </c>
      <c r="D7" s="596"/>
      <c r="E7" s="596"/>
      <c r="F7" s="598"/>
      <c r="G7" s="596"/>
      <c r="H7" s="596"/>
      <c r="I7" s="596"/>
      <c r="J7" s="596"/>
      <c r="K7" s="596"/>
    </row>
    <row r="8" spans="1:12" s="599" customFormat="1" ht="14.15" customHeight="1" x14ac:dyDescent="0.35">
      <c r="A8" s="595"/>
      <c r="B8" s="600"/>
      <c r="C8" s="601"/>
      <c r="F8" s="603"/>
      <c r="K8" s="604"/>
    </row>
    <row r="9" spans="1:12" s="599" customFormat="1" ht="14.15" customHeight="1" x14ac:dyDescent="0.35">
      <c r="A9" s="595"/>
      <c r="B9" s="600"/>
      <c r="C9" s="601" t="s">
        <v>111</v>
      </c>
      <c r="F9" s="603"/>
      <c r="K9" s="604"/>
    </row>
    <row r="10" spans="1:12" s="599" customFormat="1" ht="14.15" customHeight="1" x14ac:dyDescent="0.35">
      <c r="A10" s="595"/>
      <c r="B10" s="605"/>
      <c r="C10" s="606"/>
      <c r="F10" s="603"/>
      <c r="K10" s="604"/>
    </row>
    <row r="11" spans="1:12" s="599" customFormat="1" ht="14.15" customHeight="1" x14ac:dyDescent="0.35">
      <c r="A11" s="595"/>
      <c r="B11" s="605"/>
      <c r="C11" s="607" t="s">
        <v>112</v>
      </c>
      <c r="F11" s="599" t="s">
        <v>113</v>
      </c>
      <c r="K11" s="604"/>
    </row>
    <row r="12" spans="1:12" s="599" customFormat="1" ht="14.15" customHeight="1" x14ac:dyDescent="0.35">
      <c r="A12" s="595"/>
      <c r="B12" s="605"/>
      <c r="C12" s="608" t="s">
        <v>114</v>
      </c>
      <c r="F12" s="599" t="s">
        <v>115</v>
      </c>
      <c r="K12" s="604"/>
    </row>
    <row r="13" spans="1:12" s="599" customFormat="1" ht="14.15" customHeight="1" x14ac:dyDescent="0.35">
      <c r="A13" s="595"/>
      <c r="B13" s="605"/>
      <c r="C13" s="606" t="s">
        <v>116</v>
      </c>
      <c r="F13" s="599" t="s">
        <v>117</v>
      </c>
      <c r="K13" s="604"/>
    </row>
    <row r="14" spans="1:12" s="599" customFormat="1" ht="14.15" customHeight="1" x14ac:dyDescent="0.35">
      <c r="A14" s="595"/>
      <c r="B14" s="605"/>
      <c r="C14" s="609" t="s">
        <v>118</v>
      </c>
      <c r="F14" s="599" t="s">
        <v>119</v>
      </c>
      <c r="K14" s="604"/>
    </row>
    <row r="15" spans="1:12" s="599" customFormat="1" ht="14.15" customHeight="1" x14ac:dyDescent="0.35">
      <c r="A15" s="595"/>
      <c r="B15" s="610"/>
      <c r="C15" s="611"/>
      <c r="D15" s="612"/>
      <c r="E15" s="612"/>
      <c r="F15" s="613"/>
      <c r="G15" s="612"/>
      <c r="H15" s="612"/>
      <c r="I15" s="612"/>
      <c r="J15" s="612"/>
      <c r="K15" s="614"/>
    </row>
    <row r="16" spans="1:12" s="599" customFormat="1" ht="14.15" customHeight="1" x14ac:dyDescent="0.35">
      <c r="A16" s="595"/>
      <c r="B16" s="602"/>
      <c r="C16" s="601"/>
      <c r="F16" s="603"/>
      <c r="L16" s="615"/>
    </row>
    <row r="17" spans="2:11" ht="25.8" x14ac:dyDescent="0.35">
      <c r="C17" s="591" t="s">
        <v>120</v>
      </c>
    </row>
    <row r="18" spans="2:11" ht="10" customHeight="1" x14ac:dyDescent="0.35">
      <c r="B18" s="592"/>
      <c r="C18" s="592"/>
    </row>
    <row r="19" spans="2:11" ht="15.85" x14ac:dyDescent="0.35">
      <c r="B19" s="616"/>
      <c r="C19" s="597" t="s">
        <v>120</v>
      </c>
      <c r="D19" s="617"/>
      <c r="E19" s="617"/>
      <c r="F19" s="617"/>
      <c r="G19" s="617"/>
      <c r="H19" s="617"/>
      <c r="I19" s="617"/>
      <c r="J19" s="617"/>
      <c r="K19" s="617"/>
    </row>
    <row r="20" spans="2:11" x14ac:dyDescent="0.35">
      <c r="B20" s="33"/>
      <c r="K20" s="34"/>
    </row>
    <row r="21" spans="2:11" x14ac:dyDescent="0.35">
      <c r="B21" s="33"/>
      <c r="C21" s="595" t="s">
        <v>0</v>
      </c>
      <c r="D21" s="599"/>
      <c r="E21" s="599" t="s">
        <v>1</v>
      </c>
      <c r="F21" s="599"/>
      <c r="K21" s="34"/>
    </row>
    <row r="22" spans="2:11" x14ac:dyDescent="0.35">
      <c r="B22" s="33"/>
      <c r="C22" s="595" t="s">
        <v>141</v>
      </c>
      <c r="D22" s="599"/>
      <c r="E22" s="599" t="s">
        <v>143</v>
      </c>
      <c r="F22" s="599"/>
      <c r="K22" s="34"/>
    </row>
    <row r="23" spans="2:11" x14ac:dyDescent="0.35">
      <c r="B23" s="33"/>
      <c r="C23" s="595" t="s">
        <v>6</v>
      </c>
      <c r="D23" s="599"/>
      <c r="E23" s="599" t="s">
        <v>121</v>
      </c>
      <c r="F23" s="599"/>
      <c r="K23" s="34"/>
    </row>
    <row r="24" spans="2:11" x14ac:dyDescent="0.35">
      <c r="B24" s="33"/>
      <c r="C24" s="595" t="s">
        <v>7</v>
      </c>
      <c r="D24" s="599"/>
      <c r="E24" s="599" t="s">
        <v>122</v>
      </c>
      <c r="F24" s="599"/>
      <c r="K24" s="34"/>
    </row>
    <row r="25" spans="2:11" x14ac:dyDescent="0.35">
      <c r="B25" s="33"/>
      <c r="C25" s="595" t="s">
        <v>4</v>
      </c>
      <c r="D25" s="599"/>
      <c r="E25" s="599" t="s">
        <v>123</v>
      </c>
      <c r="F25" s="599"/>
      <c r="K25" s="34"/>
    </row>
    <row r="26" spans="2:11" x14ac:dyDescent="0.35">
      <c r="B26" s="33"/>
      <c r="C26" s="595" t="s">
        <v>297</v>
      </c>
      <c r="D26" s="599"/>
      <c r="E26" s="599" t="s">
        <v>298</v>
      </c>
      <c r="F26" s="599"/>
      <c r="K26" s="34"/>
    </row>
    <row r="27" spans="2:11" x14ac:dyDescent="0.35">
      <c r="B27" s="33"/>
      <c r="C27" s="595" t="s">
        <v>192</v>
      </c>
      <c r="D27" s="599"/>
      <c r="E27" s="599" t="s">
        <v>93</v>
      </c>
      <c r="F27" s="599"/>
      <c r="K27" s="34"/>
    </row>
    <row r="28" spans="2:11" x14ac:dyDescent="0.35">
      <c r="B28" s="33"/>
      <c r="C28" s="853" t="s">
        <v>18</v>
      </c>
      <c r="D28" s="599"/>
      <c r="E28" s="599" t="s">
        <v>144</v>
      </c>
      <c r="F28" s="599"/>
      <c r="K28" s="34"/>
    </row>
    <row r="29" spans="2:11" x14ac:dyDescent="0.35">
      <c r="B29" s="33"/>
      <c r="C29" s="853" t="s">
        <v>18</v>
      </c>
      <c r="D29" s="599"/>
      <c r="E29" s="599" t="s">
        <v>125</v>
      </c>
      <c r="F29" s="599"/>
      <c r="K29" s="34"/>
    </row>
    <row r="30" spans="2:11" x14ac:dyDescent="0.35">
      <c r="B30" s="33"/>
      <c r="C30" s="853" t="s">
        <v>103</v>
      </c>
      <c r="D30" s="599"/>
      <c r="E30" s="599" t="s">
        <v>124</v>
      </c>
      <c r="F30" s="599"/>
      <c r="K30" s="34"/>
    </row>
    <row r="31" spans="2:11" x14ac:dyDescent="0.35">
      <c r="B31" s="33"/>
      <c r="C31" s="853" t="s">
        <v>129</v>
      </c>
      <c r="D31" s="599"/>
      <c r="E31" s="599" t="s">
        <v>130</v>
      </c>
      <c r="F31" s="599"/>
      <c r="K31" s="34"/>
    </row>
    <row r="32" spans="2:11" x14ac:dyDescent="0.35">
      <c r="B32" s="33"/>
      <c r="C32" s="853" t="s">
        <v>160</v>
      </c>
      <c r="D32" s="599"/>
      <c r="E32" s="599" t="s">
        <v>147</v>
      </c>
      <c r="F32" s="599"/>
      <c r="K32" s="34"/>
    </row>
    <row r="33" spans="2:11" x14ac:dyDescent="0.35">
      <c r="B33" s="33"/>
      <c r="C33" s="853" t="s">
        <v>177</v>
      </c>
      <c r="D33" s="599"/>
      <c r="E33" s="599" t="s">
        <v>197</v>
      </c>
      <c r="F33" s="599"/>
      <c r="K33" s="34"/>
    </row>
    <row r="34" spans="2:11" x14ac:dyDescent="0.35">
      <c r="B34" s="33"/>
      <c r="C34" s="853" t="s">
        <v>178</v>
      </c>
      <c r="D34" s="599"/>
      <c r="E34" s="599" t="s">
        <v>198</v>
      </c>
      <c r="F34" s="599"/>
      <c r="K34" s="34"/>
    </row>
    <row r="35" spans="2:11" x14ac:dyDescent="0.35">
      <c r="B35" s="33"/>
      <c r="C35" s="853" t="s">
        <v>175</v>
      </c>
      <c r="D35" s="599"/>
      <c r="E35" s="599" t="s">
        <v>195</v>
      </c>
      <c r="F35" s="599"/>
      <c r="K35" s="34"/>
    </row>
    <row r="36" spans="2:11" x14ac:dyDescent="0.35">
      <c r="B36" s="33"/>
      <c r="C36" s="595" t="s">
        <v>83</v>
      </c>
      <c r="D36" s="599"/>
      <c r="E36" s="599" t="s">
        <v>131</v>
      </c>
      <c r="F36" s="599"/>
      <c r="K36" s="34"/>
    </row>
    <row r="37" spans="2:11" x14ac:dyDescent="0.35">
      <c r="B37" s="33"/>
      <c r="C37" s="595"/>
      <c r="D37" s="599"/>
      <c r="E37" s="599"/>
      <c r="F37" s="855" t="s">
        <v>304</v>
      </c>
      <c r="K37" s="34"/>
    </row>
    <row r="38" spans="2:11" x14ac:dyDescent="0.35">
      <c r="B38" s="33"/>
      <c r="C38" s="595"/>
      <c r="D38" s="599"/>
      <c r="E38" s="599"/>
      <c r="F38" s="855" t="s">
        <v>305</v>
      </c>
      <c r="K38" s="34"/>
    </row>
    <row r="39" spans="2:11" x14ac:dyDescent="0.35">
      <c r="B39" s="33"/>
      <c r="C39" s="595"/>
      <c r="D39" s="599"/>
      <c r="E39" s="599"/>
      <c r="F39" s="855" t="s">
        <v>306</v>
      </c>
      <c r="K39" s="34"/>
    </row>
    <row r="40" spans="2:11" x14ac:dyDescent="0.35">
      <c r="B40" s="33"/>
      <c r="C40" s="595" t="s">
        <v>132</v>
      </c>
      <c r="D40" s="599"/>
      <c r="E40" s="599" t="s">
        <v>133</v>
      </c>
      <c r="F40" s="599"/>
      <c r="K40" s="34"/>
    </row>
    <row r="41" spans="2:11" x14ac:dyDescent="0.35">
      <c r="B41" s="33"/>
      <c r="C41" s="595" t="s">
        <v>148</v>
      </c>
      <c r="D41" s="599"/>
      <c r="E41" s="599" t="s">
        <v>149</v>
      </c>
      <c r="F41" s="599"/>
      <c r="K41" s="34"/>
    </row>
    <row r="42" spans="2:11" x14ac:dyDescent="0.35">
      <c r="B42" s="33"/>
      <c r="C42" s="853" t="s">
        <v>19</v>
      </c>
      <c r="D42" s="599"/>
      <c r="E42" s="599" t="s">
        <v>128</v>
      </c>
      <c r="F42" s="599"/>
      <c r="K42" s="34"/>
    </row>
    <row r="43" spans="2:11" x14ac:dyDescent="0.35">
      <c r="B43" s="33"/>
      <c r="C43" s="853" t="s">
        <v>126</v>
      </c>
      <c r="D43" s="599"/>
      <c r="E43" s="599" t="s">
        <v>127</v>
      </c>
      <c r="F43" s="599"/>
      <c r="K43" s="34"/>
    </row>
    <row r="44" spans="2:11" x14ac:dyDescent="0.35">
      <c r="B44" s="33"/>
      <c r="C44" s="853" t="s">
        <v>148</v>
      </c>
      <c r="D44" s="599"/>
      <c r="E44" s="599" t="s">
        <v>149</v>
      </c>
      <c r="F44" s="599"/>
      <c r="K44" s="34"/>
    </row>
    <row r="45" spans="2:11" x14ac:dyDescent="0.35">
      <c r="B45" s="33"/>
      <c r="C45" s="853" t="s">
        <v>187</v>
      </c>
      <c r="D45" s="599"/>
      <c r="E45" s="599" t="s">
        <v>299</v>
      </c>
      <c r="F45" s="599"/>
      <c r="K45" s="34"/>
    </row>
    <row r="46" spans="2:11" x14ac:dyDescent="0.35">
      <c r="B46" s="33"/>
      <c r="C46" s="595"/>
      <c r="D46" s="599"/>
      <c r="E46" s="599"/>
      <c r="F46" s="855" t="s">
        <v>307</v>
      </c>
      <c r="K46" s="34"/>
    </row>
    <row r="47" spans="2:11" x14ac:dyDescent="0.35">
      <c r="B47" s="33"/>
      <c r="C47" s="595"/>
      <c r="D47" s="599"/>
      <c r="E47" s="599"/>
      <c r="F47" s="855" t="s">
        <v>308</v>
      </c>
      <c r="K47" s="34"/>
    </row>
    <row r="48" spans="2:11" x14ac:dyDescent="0.35">
      <c r="B48" s="33"/>
      <c r="C48" s="595"/>
      <c r="D48" s="599"/>
      <c r="E48" s="599"/>
      <c r="F48" s="856" t="s">
        <v>309</v>
      </c>
      <c r="K48" s="34"/>
    </row>
    <row r="49" spans="2:11" x14ac:dyDescent="0.35">
      <c r="B49" s="33"/>
      <c r="C49" s="595" t="s">
        <v>84</v>
      </c>
      <c r="D49" s="599"/>
      <c r="E49" s="599" t="s">
        <v>300</v>
      </c>
      <c r="F49" s="599"/>
      <c r="K49" s="34"/>
    </row>
    <row r="50" spans="2:11" x14ac:dyDescent="0.35">
      <c r="B50" s="33"/>
      <c r="C50" s="595"/>
      <c r="D50" s="599"/>
      <c r="E50" s="599"/>
      <c r="F50" s="855" t="s">
        <v>310</v>
      </c>
      <c r="K50" s="34"/>
    </row>
    <row r="51" spans="2:11" x14ac:dyDescent="0.35">
      <c r="B51" s="33"/>
      <c r="C51" s="595"/>
      <c r="D51" s="599"/>
      <c r="E51" s="599"/>
      <c r="F51" s="855" t="s">
        <v>311</v>
      </c>
      <c r="K51" s="34"/>
    </row>
    <row r="52" spans="2:11" x14ac:dyDescent="0.35">
      <c r="B52" s="33"/>
      <c r="C52" s="595"/>
      <c r="D52" s="599"/>
      <c r="E52" s="599"/>
      <c r="F52" s="855" t="s">
        <v>312</v>
      </c>
      <c r="K52" s="34"/>
    </row>
    <row r="53" spans="2:11" x14ac:dyDescent="0.35">
      <c r="B53" s="33"/>
      <c r="C53" s="853" t="s">
        <v>108</v>
      </c>
      <c r="D53" s="599"/>
      <c r="E53" s="599" t="s">
        <v>301</v>
      </c>
      <c r="F53" s="599"/>
      <c r="K53" s="34"/>
    </row>
    <row r="54" spans="2:11" x14ac:dyDescent="0.35">
      <c r="B54" s="33"/>
      <c r="C54" s="595"/>
      <c r="D54" s="599"/>
      <c r="E54" s="599"/>
      <c r="F54" s="855" t="s">
        <v>313</v>
      </c>
      <c r="K54" s="34"/>
    </row>
    <row r="55" spans="2:11" x14ac:dyDescent="0.35">
      <c r="B55" s="33"/>
      <c r="C55" s="595"/>
      <c r="D55" s="599"/>
      <c r="E55" s="599"/>
      <c r="F55" s="855" t="s">
        <v>314</v>
      </c>
      <c r="K55" s="34"/>
    </row>
    <row r="56" spans="2:11" x14ac:dyDescent="0.35">
      <c r="B56" s="33"/>
      <c r="C56" s="595"/>
      <c r="D56" s="599"/>
      <c r="E56" s="599"/>
      <c r="F56" s="855" t="s">
        <v>315</v>
      </c>
      <c r="K56" s="34"/>
    </row>
    <row r="57" spans="2:11" x14ac:dyDescent="0.35">
      <c r="B57" s="33"/>
      <c r="C57" s="853" t="s">
        <v>173</v>
      </c>
      <c r="D57" s="599"/>
      <c r="E57" s="599" t="s">
        <v>8</v>
      </c>
      <c r="F57" s="599"/>
      <c r="K57" s="34"/>
    </row>
    <row r="58" spans="2:11" x14ac:dyDescent="0.35">
      <c r="B58" s="33"/>
      <c r="C58" s="595" t="s">
        <v>193</v>
      </c>
      <c r="D58" s="599"/>
      <c r="E58" s="599" t="s">
        <v>159</v>
      </c>
      <c r="F58" s="599"/>
      <c r="K58" s="34"/>
    </row>
    <row r="59" spans="2:11" x14ac:dyDescent="0.35">
      <c r="B59" s="33"/>
      <c r="C59" s="854" t="s">
        <v>302</v>
      </c>
      <c r="D59" s="854"/>
      <c r="E59" s="854" t="s">
        <v>303</v>
      </c>
      <c r="F59" s="854"/>
      <c r="K59" s="34"/>
    </row>
    <row r="60" spans="2:11" x14ac:dyDescent="0.35">
      <c r="B60" s="33"/>
      <c r="C60" s="595" t="s">
        <v>9</v>
      </c>
      <c r="D60" s="599"/>
      <c r="E60" s="599" t="s">
        <v>134</v>
      </c>
      <c r="F60" s="599"/>
      <c r="K60" s="34"/>
    </row>
    <row r="61" spans="2:11" x14ac:dyDescent="0.35">
      <c r="B61" s="33"/>
      <c r="C61" s="595" t="s">
        <v>161</v>
      </c>
      <c r="D61" s="599"/>
      <c r="E61" s="599" t="s">
        <v>194</v>
      </c>
      <c r="F61" s="599"/>
      <c r="K61" s="34"/>
    </row>
    <row r="62" spans="2:11" x14ac:dyDescent="0.35">
      <c r="B62" s="33"/>
      <c r="C62" s="595" t="s">
        <v>145</v>
      </c>
      <c r="D62" s="599"/>
      <c r="E62" s="599" t="s">
        <v>46</v>
      </c>
      <c r="F62" s="599"/>
      <c r="K62" s="34"/>
    </row>
    <row r="63" spans="2:11" x14ac:dyDescent="0.35">
      <c r="B63" s="91"/>
      <c r="C63" s="36"/>
      <c r="D63" s="36"/>
      <c r="E63" s="36"/>
      <c r="F63" s="36"/>
      <c r="G63" s="36"/>
      <c r="H63" s="36"/>
      <c r="I63" s="36"/>
      <c r="J63" s="36"/>
      <c r="K63" s="93"/>
    </row>
    <row r="67" spans="2:3" x14ac:dyDescent="0.35">
      <c r="B67" s="107"/>
      <c r="C67" s="618"/>
    </row>
    <row r="68" spans="2:3" x14ac:dyDescent="0.35">
      <c r="B68" s="479"/>
      <c r="C68" s="619"/>
    </row>
  </sheetData>
  <printOptions horizontalCentered="1"/>
  <pageMargins left="0.5" right="0.5" top="0.5" bottom="0.5" header="0.3" footer="0.3"/>
  <pageSetup paperSize="9" scale="67" orientation="portrait" r:id="rId1"/>
  <headerFooter>
    <oddFooter>&amp;L&amp;"Calibri,Regular"&amp;K000000Strictly private and confidential&amp;C&amp;"Calibri,Regular"&amp;K000000Page &amp;P of &amp;N&amp;R&amp;"Helvetica,Regular"&amp;K000000&amp;F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1D0D-EEEC-4767-841F-F4B867F572D4}">
  <sheetPr>
    <tabColor rgb="FF44B774"/>
    <pageSetUpPr fitToPage="1"/>
  </sheetPr>
  <dimension ref="A1:Z140"/>
  <sheetViews>
    <sheetView showGridLines="0" zoomScale="90" zoomScaleNormal="90" zoomScaleSheetLayoutView="70" workbookViewId="0">
      <pane xSplit="1" ySplit="6" topLeftCell="B7" activePane="bottomRight" state="frozen"/>
      <selection activeCell="C12" sqref="A1:XFD1048576"/>
      <selection pane="topRight" activeCell="C12" sqref="A1:XFD1048576"/>
      <selection pane="bottomLeft" activeCell="C12" sqref="A1:XFD1048576"/>
      <selection pane="bottomRight" activeCell="B139" sqref="B139"/>
    </sheetView>
  </sheetViews>
  <sheetFormatPr defaultColWidth="11" defaultRowHeight="12.9" outlineLevelRow="1" outlineLevelCol="1" x14ac:dyDescent="0.35"/>
  <cols>
    <col min="1" max="1" width="4.58203125" style="9" customWidth="1"/>
    <col min="2" max="2" width="1.58203125" style="9" customWidth="1"/>
    <col min="3" max="3" width="14" style="10" customWidth="1"/>
    <col min="4" max="11" width="14" style="9" customWidth="1"/>
    <col min="12" max="13" width="1.58203125" style="9" customWidth="1"/>
    <col min="14" max="22" width="14" style="9" customWidth="1"/>
    <col min="23" max="23" width="1.58203125" style="9" customWidth="1"/>
    <col min="24" max="24" width="4.58203125" style="9" hidden="1" customWidth="1" outlineLevel="1"/>
    <col min="25" max="25" width="12.58203125" style="12" hidden="1" customWidth="1" outlineLevel="1"/>
    <col min="26" max="26" width="12" style="9" customWidth="1" collapsed="1"/>
    <col min="27" max="16384" width="11" style="9"/>
  </cols>
  <sheetData>
    <row r="1" spans="1:26" ht="15" customHeight="1" x14ac:dyDescent="0.35"/>
    <row r="2" spans="1:26" ht="15" customHeight="1" x14ac:dyDescent="0.35">
      <c r="B2" s="130" t="str">
        <f>Title!$B$5</f>
        <v xml:space="preserve">DCF Valuation Model </v>
      </c>
      <c r="D2" s="13"/>
      <c r="T2" s="14"/>
      <c r="U2" s="14"/>
      <c r="W2" s="131" t="e">
        <f>Title!#REF!&amp;" "&amp;Title!#REF!</f>
        <v>#REF!</v>
      </c>
      <c r="Y2" s="15" t="s">
        <v>104</v>
      </c>
    </row>
    <row r="3" spans="1:26" ht="15" customHeight="1" x14ac:dyDescent="0.35">
      <c r="B3" s="700"/>
      <c r="C3" s="701"/>
      <c r="D3" s="193"/>
      <c r="E3" s="702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99"/>
      <c r="U3" s="399"/>
      <c r="V3" s="36"/>
      <c r="W3" s="689" t="e">
        <f>Title!#REF!</f>
        <v>#REF!</v>
      </c>
      <c r="Y3" s="16">
        <f ca="1">SUM(Y5:Z141)</f>
        <v>0</v>
      </c>
    </row>
    <row r="4" spans="1:26" ht="15" customHeight="1" x14ac:dyDescent="0.35">
      <c r="C4" s="17"/>
      <c r="D4" s="18"/>
      <c r="E4" s="18"/>
    </row>
    <row r="5" spans="1:26" s="48" customFormat="1" ht="25.8" x14ac:dyDescent="0.35">
      <c r="A5" s="47"/>
      <c r="C5" s="49" t="s">
        <v>244</v>
      </c>
      <c r="D5" s="50"/>
      <c r="G5" s="47"/>
      <c r="M5" s="47"/>
      <c r="W5" s="47"/>
      <c r="X5" s="47"/>
      <c r="Y5" s="47"/>
      <c r="Z5" s="51"/>
    </row>
    <row r="6" spans="1:26" s="48" customFormat="1" ht="15" customHeight="1" x14ac:dyDescent="0.35">
      <c r="C6" s="138" t="str">
        <f>"All amounts in "&amp;Assumptions!$G$14</f>
        <v>All amounts in USD</v>
      </c>
    </row>
    <row r="7" spans="1:26" s="48" customFormat="1" ht="15" customHeight="1" x14ac:dyDescent="0.35">
      <c r="A7" s="52">
        <v>1</v>
      </c>
      <c r="B7" s="555"/>
      <c r="C7" s="555" t="str">
        <f>Financials!C7</f>
        <v>Income Statement</v>
      </c>
      <c r="D7" s="555"/>
      <c r="E7" s="555" t="str">
        <f>Financials!G7</f>
        <v>Unit</v>
      </c>
      <c r="F7" s="872">
        <f ca="1">Financials!M7</f>
        <v>2026</v>
      </c>
      <c r="G7" s="872">
        <f ca="1">Financials!O7</f>
        <v>2027</v>
      </c>
      <c r="H7" s="872">
        <f ca="1">Financials!P7</f>
        <v>2028</v>
      </c>
      <c r="I7" s="872">
        <f ca="1">Financials!Q7</f>
        <v>2029</v>
      </c>
      <c r="J7" s="872">
        <f ca="1">Financials!R7</f>
        <v>2030</v>
      </c>
      <c r="K7" s="872">
        <f ca="1">Financials!S7</f>
        <v>2031</v>
      </c>
      <c r="L7" s="872"/>
      <c r="M7" s="53"/>
      <c r="N7" s="555" t="str">
        <f>Financials!C38</f>
        <v>Balance Sheet</v>
      </c>
      <c r="O7" s="555"/>
      <c r="P7" s="555" t="str">
        <f t="shared" ref="P7:V7" si="0">E7</f>
        <v>Unit</v>
      </c>
      <c r="Q7" s="872">
        <f t="shared" ca="1" si="0"/>
        <v>2026</v>
      </c>
      <c r="R7" s="872">
        <f t="shared" ca="1" si="0"/>
        <v>2027</v>
      </c>
      <c r="S7" s="872">
        <f t="shared" ca="1" si="0"/>
        <v>2028</v>
      </c>
      <c r="T7" s="872">
        <f t="shared" ca="1" si="0"/>
        <v>2029</v>
      </c>
      <c r="U7" s="872">
        <f t="shared" ca="1" si="0"/>
        <v>2030</v>
      </c>
      <c r="V7" s="872">
        <f t="shared" ca="1" si="0"/>
        <v>2031</v>
      </c>
      <c r="W7" s="555"/>
    </row>
    <row r="8" spans="1:26" s="48" customFormat="1" ht="15" customHeight="1" x14ac:dyDescent="0.35">
      <c r="B8" s="556"/>
      <c r="C8" s="557" t="str">
        <f>Financials!C8</f>
        <v>Forecast Year</v>
      </c>
      <c r="D8" s="557"/>
      <c r="E8" s="557"/>
      <c r="F8" s="558">
        <f>Financials!M8</f>
        <v>0</v>
      </c>
      <c r="G8" s="558">
        <f>Financials!O8</f>
        <v>1</v>
      </c>
      <c r="H8" s="558">
        <f>Financials!P8</f>
        <v>2</v>
      </c>
      <c r="I8" s="558">
        <f>Financials!Q8</f>
        <v>3</v>
      </c>
      <c r="J8" s="558">
        <f>Financials!R8</f>
        <v>4</v>
      </c>
      <c r="K8" s="558">
        <f>Financials!S8</f>
        <v>5</v>
      </c>
      <c r="L8" s="558"/>
      <c r="M8" s="556"/>
      <c r="N8" s="557" t="str">
        <f>C8</f>
        <v>Forecast Year</v>
      </c>
      <c r="O8" s="557"/>
      <c r="P8" s="559"/>
      <c r="Q8" s="558">
        <f t="shared" ref="Q8:V8" si="1">F8</f>
        <v>0</v>
      </c>
      <c r="R8" s="558">
        <f t="shared" si="1"/>
        <v>1</v>
      </c>
      <c r="S8" s="558">
        <f t="shared" si="1"/>
        <v>2</v>
      </c>
      <c r="T8" s="558">
        <f t="shared" si="1"/>
        <v>3</v>
      </c>
      <c r="U8" s="558">
        <f t="shared" si="1"/>
        <v>4</v>
      </c>
      <c r="V8" s="558">
        <f t="shared" si="1"/>
        <v>5</v>
      </c>
      <c r="W8" s="560"/>
    </row>
    <row r="9" spans="1:26" s="47" customFormat="1" ht="15" customHeight="1" x14ac:dyDescent="0.35">
      <c r="B9" s="54"/>
      <c r="C9" s="492"/>
      <c r="D9" s="492"/>
      <c r="E9" s="492"/>
      <c r="F9" s="561"/>
      <c r="G9" s="561"/>
      <c r="H9" s="561"/>
      <c r="I9" s="561"/>
      <c r="J9" s="561"/>
      <c r="K9" s="561"/>
      <c r="M9" s="54"/>
      <c r="N9" s="562"/>
      <c r="O9" s="562"/>
      <c r="P9" s="562"/>
      <c r="W9" s="55"/>
    </row>
    <row r="10" spans="1:26" s="48" customFormat="1" ht="15" customHeight="1" x14ac:dyDescent="0.35">
      <c r="B10" s="56"/>
      <c r="C10" s="563" t="str">
        <f>Financials!C10</f>
        <v>Revenue</v>
      </c>
      <c r="D10" s="563"/>
      <c r="E10" s="563" t="str">
        <f>Financials!G10</f>
        <v>USD</v>
      </c>
      <c r="F10" s="564">
        <f>Financials!N10</f>
        <v>5263000</v>
      </c>
      <c r="G10" s="564">
        <f>Financials!O10</f>
        <v>5657725</v>
      </c>
      <c r="H10" s="564">
        <f>Financials!P10</f>
        <v>6082054.375</v>
      </c>
      <c r="I10" s="564">
        <f>Financials!Q10</f>
        <v>6386157.09375</v>
      </c>
      <c r="J10" s="564">
        <f>Financials!R10</f>
        <v>6705464.9484375007</v>
      </c>
      <c r="K10" s="564">
        <f>Financials!S10</f>
        <v>7040738.1958593763</v>
      </c>
      <c r="M10" s="56"/>
      <c r="N10" s="47" t="str">
        <f>Financials!C41</f>
        <v>Cash</v>
      </c>
      <c r="O10" s="47"/>
      <c r="P10" s="47" t="str">
        <f>Financials!G41</f>
        <v>USD</v>
      </c>
      <c r="Q10" s="38">
        <f>Financials!N41</f>
        <v>600000</v>
      </c>
      <c r="R10" s="38">
        <f ca="1">Financials!O41</f>
        <v>971699.34309153142</v>
      </c>
      <c r="S10" s="38">
        <f ca="1">Financials!P41</f>
        <v>1383738.0834920481</v>
      </c>
      <c r="T10" s="38">
        <f ca="1">Financials!Q41</f>
        <v>1846341.9457330317</v>
      </c>
      <c r="U10" s="38">
        <f ca="1">Financials!R41</f>
        <v>2063344.9667109591</v>
      </c>
      <c r="V10" s="38">
        <f ca="1">Financials!S41</f>
        <v>2543752.2190717403</v>
      </c>
      <c r="W10" s="57"/>
    </row>
    <row r="11" spans="1:26" s="48" customFormat="1" ht="15" customHeight="1" x14ac:dyDescent="0.35">
      <c r="B11" s="56"/>
      <c r="C11" s="51" t="str">
        <f>Financials!C11</f>
        <v>Revenue Growth</v>
      </c>
      <c r="D11" s="51"/>
      <c r="E11" s="51" t="str">
        <f>Financials!G11</f>
        <v>%</v>
      </c>
      <c r="F11" s="394">
        <f>Financials!N11</f>
        <v>5.259999999999998E-2</v>
      </c>
      <c r="G11" s="394">
        <f>Financials!O11</f>
        <v>7.4999999999999956E-2</v>
      </c>
      <c r="H11" s="394">
        <f>Financials!P11</f>
        <v>7.4999999999999956E-2</v>
      </c>
      <c r="I11" s="394">
        <f>Financials!Q11</f>
        <v>5.0000000000000044E-2</v>
      </c>
      <c r="J11" s="394">
        <f>Financials!R11</f>
        <v>5.0000000000000044E-2</v>
      </c>
      <c r="K11" s="394">
        <f>Financials!S11</f>
        <v>5.0000000000000044E-2</v>
      </c>
      <c r="M11" s="56"/>
      <c r="N11" s="47" t="str">
        <f>Financials!C42</f>
        <v>Receivables</v>
      </c>
      <c r="O11" s="47"/>
      <c r="P11" s="47" t="str">
        <f>Financials!G42</f>
        <v>USD</v>
      </c>
      <c r="Q11" s="38">
        <f ca="1">Financials!N42</f>
        <v>432575.34246575343</v>
      </c>
      <c r="R11" s="38">
        <f ca="1">Financials!O42</f>
        <v>465018.49315068492</v>
      </c>
      <c r="S11" s="38">
        <f ca="1">Financials!P42</f>
        <v>498529.04713114753</v>
      </c>
      <c r="T11" s="38">
        <f ca="1">Financials!Q42</f>
        <v>524889.62414383562</v>
      </c>
      <c r="U11" s="38">
        <f ca="1">Financials!R42</f>
        <v>551134.10535102745</v>
      </c>
      <c r="V11" s="38">
        <f ca="1">Financials!S42</f>
        <v>578690.81061857892</v>
      </c>
      <c r="W11" s="57"/>
    </row>
    <row r="12" spans="1:26" s="48" customFormat="1" ht="15" customHeight="1" x14ac:dyDescent="0.35">
      <c r="B12" s="56"/>
      <c r="F12" s="565"/>
      <c r="G12" s="565"/>
      <c r="H12" s="565"/>
      <c r="I12" s="565"/>
      <c r="J12" s="565"/>
      <c r="K12" s="565"/>
      <c r="M12" s="56"/>
      <c r="N12" s="47" t="str">
        <f>Financials!C43</f>
        <v>Inventory</v>
      </c>
      <c r="O12" s="47"/>
      <c r="P12" s="47" t="str">
        <f>Financials!G43</f>
        <v>USD</v>
      </c>
      <c r="Q12" s="38">
        <f ca="1">Financials!N43</f>
        <v>108143.83561643836</v>
      </c>
      <c r="R12" s="38">
        <f ca="1">Financials!O43</f>
        <v>130205.17808219181</v>
      </c>
      <c r="S12" s="38">
        <f ca="1">Financials!P43</f>
        <v>139588.13319672132</v>
      </c>
      <c r="T12" s="38">
        <f ca="1">Financials!Q43</f>
        <v>144344.64663955482</v>
      </c>
      <c r="U12" s="38">
        <f ca="1">Financials!R43</f>
        <v>151561.87897153257</v>
      </c>
      <c r="V12" s="38">
        <f ca="1">Financials!S43</f>
        <v>159139.9729201092</v>
      </c>
      <c r="W12" s="57"/>
    </row>
    <row r="13" spans="1:26" s="48" customFormat="1" ht="15" customHeight="1" x14ac:dyDescent="0.35">
      <c r="B13" s="56"/>
      <c r="C13" s="566" t="str">
        <f>Financials!C13</f>
        <v>Direct Costs</v>
      </c>
      <c r="D13" s="566"/>
      <c r="E13" s="566" t="str">
        <f>Financials!G13</f>
        <v>USD</v>
      </c>
      <c r="F13" s="567">
        <f>Financials!N13</f>
        <v>-2631500</v>
      </c>
      <c r="G13" s="567">
        <f>Financials!O13</f>
        <v>-3168326.0000000005</v>
      </c>
      <c r="H13" s="567">
        <f>Financials!P13</f>
        <v>-3405950.45</v>
      </c>
      <c r="I13" s="567">
        <f>Financials!Q13</f>
        <v>-3512386.4015625003</v>
      </c>
      <c r="J13" s="567">
        <f>Financials!R13</f>
        <v>-3688005.7216406255</v>
      </c>
      <c r="K13" s="567">
        <f>Financials!S13</f>
        <v>-3872406.0077226572</v>
      </c>
      <c r="M13" s="56"/>
      <c r="N13" s="47" t="str">
        <f>Financials!C44</f>
        <v>Other Current Assets</v>
      </c>
      <c r="O13" s="47"/>
      <c r="P13" s="47" t="str">
        <f>Financials!G44</f>
        <v>USD</v>
      </c>
      <c r="Q13" s="38">
        <f>Financials!N44</f>
        <v>26315</v>
      </c>
      <c r="R13" s="38">
        <f>Financials!O44</f>
        <v>28288.625</v>
      </c>
      <c r="S13" s="38">
        <f>Financials!P44</f>
        <v>30410.271875000002</v>
      </c>
      <c r="T13" s="38">
        <f>Financials!Q44</f>
        <v>31930.78546875</v>
      </c>
      <c r="U13" s="38">
        <f>Financials!R44</f>
        <v>33527.324742187506</v>
      </c>
      <c r="V13" s="38">
        <f>Financials!S44</f>
        <v>35203.69097929688</v>
      </c>
      <c r="W13" s="57"/>
    </row>
    <row r="14" spans="1:26" s="48" customFormat="1" ht="15" customHeight="1" x14ac:dyDescent="0.35">
      <c r="B14" s="56"/>
      <c r="C14" s="563" t="str">
        <f>Financials!C14</f>
        <v>Gross Profit</v>
      </c>
      <c r="D14" s="563"/>
      <c r="E14" s="563" t="str">
        <f>Financials!G14</f>
        <v>USD</v>
      </c>
      <c r="F14" s="404">
        <f t="shared" ref="F14" si="2">F10+F13</f>
        <v>2631500</v>
      </c>
      <c r="G14" s="404">
        <f t="shared" ref="G14:K14" si="3">G10+G13</f>
        <v>2489398.9999999995</v>
      </c>
      <c r="H14" s="404">
        <f t="shared" si="3"/>
        <v>2676103.9249999998</v>
      </c>
      <c r="I14" s="404">
        <f t="shared" si="3"/>
        <v>2873770.6921874997</v>
      </c>
      <c r="J14" s="404">
        <f t="shared" si="3"/>
        <v>3017459.2267968752</v>
      </c>
      <c r="K14" s="404">
        <f t="shared" si="3"/>
        <v>3168332.1881367192</v>
      </c>
      <c r="M14" s="56"/>
      <c r="N14" s="867" t="str">
        <f>Financials!C45</f>
        <v>Current Assets</v>
      </c>
      <c r="O14" s="867"/>
      <c r="P14" s="867" t="str">
        <f>Financials!G45</f>
        <v>USD</v>
      </c>
      <c r="Q14" s="8">
        <f ca="1">SUM(Q10:Q13)</f>
        <v>1167034.1780821919</v>
      </c>
      <c r="R14" s="8">
        <f ca="1">Financials!O45</f>
        <v>1595211.6393244083</v>
      </c>
      <c r="S14" s="8">
        <f ca="1">Financials!P45</f>
        <v>2052265.535694917</v>
      </c>
      <c r="T14" s="8">
        <f ca="1">Financials!Q45</f>
        <v>2547507.0019851723</v>
      </c>
      <c r="U14" s="8">
        <f ca="1">Financials!R45</f>
        <v>2799568.2757757064</v>
      </c>
      <c r="V14" s="8">
        <f ca="1">Financials!S45</f>
        <v>3316786.6935897251</v>
      </c>
      <c r="W14" s="57"/>
    </row>
    <row r="15" spans="1:26" s="48" customFormat="1" ht="15" customHeight="1" x14ac:dyDescent="0.35">
      <c r="B15" s="56"/>
      <c r="C15" s="51" t="str">
        <f>Financials!C15</f>
        <v>Gross Profit Margin %</v>
      </c>
      <c r="D15" s="51"/>
      <c r="E15" s="51" t="str">
        <f>Financials!G15</f>
        <v>% of Revenue</v>
      </c>
      <c r="F15" s="394">
        <f>Financials!N15</f>
        <v>0.5</v>
      </c>
      <c r="G15" s="394">
        <f>Financials!O15</f>
        <v>0.43999999999999989</v>
      </c>
      <c r="H15" s="394">
        <f>Financials!P15</f>
        <v>0.43999999999999995</v>
      </c>
      <c r="I15" s="394">
        <f>Financials!Q15</f>
        <v>0.44999999999999996</v>
      </c>
      <c r="J15" s="394">
        <f>Financials!R15</f>
        <v>0.45</v>
      </c>
      <c r="K15" s="394">
        <f>Financials!S15</f>
        <v>0.44999999999999996</v>
      </c>
      <c r="M15" s="56"/>
      <c r="W15" s="57"/>
    </row>
    <row r="16" spans="1:26" s="48" customFormat="1" ht="15" customHeight="1" x14ac:dyDescent="0.35">
      <c r="B16" s="56"/>
      <c r="F16" s="565"/>
      <c r="G16" s="565"/>
      <c r="H16" s="565"/>
      <c r="I16" s="565"/>
      <c r="J16" s="565"/>
      <c r="K16" s="565"/>
      <c r="M16" s="56"/>
      <c r="N16" s="47" t="str">
        <f>Financials!C47</f>
        <v>Capital Expenditures</v>
      </c>
      <c r="O16" s="47"/>
      <c r="P16" s="47" t="str">
        <f>P17</f>
        <v>USD</v>
      </c>
      <c r="Q16" s="38">
        <f>Financials!N47</f>
        <v>1500000</v>
      </c>
      <c r="R16" s="38">
        <f>Financials!O47</f>
        <v>1200000</v>
      </c>
      <c r="S16" s="38">
        <f>Financials!P47</f>
        <v>900000</v>
      </c>
      <c r="T16" s="38">
        <f>Financials!Q47</f>
        <v>600000</v>
      </c>
      <c r="U16" s="38">
        <f>Financials!R47</f>
        <v>550000</v>
      </c>
      <c r="V16" s="38">
        <f>Financials!S47</f>
        <v>200000</v>
      </c>
      <c r="W16" s="57"/>
    </row>
    <row r="17" spans="2:25" s="48" customFormat="1" ht="15" customHeight="1" x14ac:dyDescent="0.35">
      <c r="B17" s="56"/>
      <c r="C17" s="566" t="str">
        <f>Financials!C17</f>
        <v>Operating Expenses</v>
      </c>
      <c r="D17" s="566"/>
      <c r="E17" s="566" t="str">
        <f>Financials!G17</f>
        <v>USD</v>
      </c>
      <c r="F17" s="567">
        <f>Financials!N17</f>
        <v>-1350000</v>
      </c>
      <c r="G17" s="567">
        <f>Financials!O17</f>
        <v>-1388714.3181818181</v>
      </c>
      <c r="H17" s="567">
        <f>Financials!P17</f>
        <v>-1492867.8920454548</v>
      </c>
      <c r="I17" s="567">
        <f>Financials!Q17</f>
        <v>-1612297.3234090912</v>
      </c>
      <c r="J17" s="567">
        <f>Financials!R17</f>
        <v>-1757404.0825159098</v>
      </c>
      <c r="K17" s="567">
        <f>Financials!S17</f>
        <v>-1933144.4907675011</v>
      </c>
      <c r="M17" s="56"/>
      <c r="N17" s="867" t="str">
        <f>Financials!C48</f>
        <v>Fixed Assets</v>
      </c>
      <c r="O17" s="867"/>
      <c r="P17" s="867" t="str">
        <f>Financials!G47</f>
        <v>USD</v>
      </c>
      <c r="Q17" s="8">
        <f>SUM(Q16)</f>
        <v>1500000</v>
      </c>
      <c r="R17" s="8">
        <f t="shared" ref="R17:V17" si="4">SUM(R16)</f>
        <v>1200000</v>
      </c>
      <c r="S17" s="8">
        <f t="shared" si="4"/>
        <v>900000</v>
      </c>
      <c r="T17" s="8">
        <f t="shared" si="4"/>
        <v>600000</v>
      </c>
      <c r="U17" s="8">
        <f t="shared" si="4"/>
        <v>550000</v>
      </c>
      <c r="V17" s="8">
        <f t="shared" si="4"/>
        <v>200000</v>
      </c>
      <c r="W17" s="57"/>
    </row>
    <row r="18" spans="2:25" s="48" customFormat="1" ht="15" customHeight="1" x14ac:dyDescent="0.35">
      <c r="B18" s="56"/>
      <c r="C18" s="563" t="str">
        <f>Financials!C18</f>
        <v>EBITDA</v>
      </c>
      <c r="D18" s="563"/>
      <c r="E18" s="563" t="str">
        <f>Financials!G18</f>
        <v>USD</v>
      </c>
      <c r="F18" s="404">
        <f t="shared" ref="F18:K18" si="5">F14+F17</f>
        <v>1281500</v>
      </c>
      <c r="G18" s="404">
        <f t="shared" si="5"/>
        <v>1100684.6818181814</v>
      </c>
      <c r="H18" s="404">
        <f t="shared" si="5"/>
        <v>1183236.032954545</v>
      </c>
      <c r="I18" s="404">
        <f t="shared" si="5"/>
        <v>1261473.3687784085</v>
      </c>
      <c r="J18" s="404">
        <f t="shared" si="5"/>
        <v>1260055.1442809654</v>
      </c>
      <c r="K18" s="404">
        <f t="shared" si="5"/>
        <v>1235187.6973692181</v>
      </c>
      <c r="M18" s="56"/>
      <c r="W18" s="57"/>
    </row>
    <row r="19" spans="2:25" s="48" customFormat="1" ht="15" customHeight="1" x14ac:dyDescent="0.35">
      <c r="B19" s="56"/>
      <c r="C19" s="51" t="str">
        <f>Financials!C19</f>
        <v>EBITDA Margin %</v>
      </c>
      <c r="D19" s="51"/>
      <c r="E19" s="51" t="str">
        <f>Financials!G19</f>
        <v>% of Revenue</v>
      </c>
      <c r="F19" s="394">
        <f>Financials!N19</f>
        <v>0.24349230476914308</v>
      </c>
      <c r="G19" s="394">
        <f>Financials!O19</f>
        <v>0.19454545454545447</v>
      </c>
      <c r="H19" s="394">
        <f>Financials!P19</f>
        <v>0.19454545454545447</v>
      </c>
      <c r="I19" s="394">
        <f>Financials!Q19</f>
        <v>0.19753246753246745</v>
      </c>
      <c r="J19" s="394">
        <f>Financials!R19</f>
        <v>0.18791465677179953</v>
      </c>
      <c r="K19" s="394">
        <f>Financials!S19</f>
        <v>0.17543440233236138</v>
      </c>
      <c r="M19" s="56"/>
      <c r="N19" s="64" t="str">
        <f>Financials!C50</f>
        <v>Assets</v>
      </c>
      <c r="O19" s="64"/>
      <c r="P19" s="64" t="str">
        <f>Financials!G50</f>
        <v>USD</v>
      </c>
      <c r="Q19" s="44">
        <f ca="1">SUM(Q17,Q14)</f>
        <v>2667034.1780821919</v>
      </c>
      <c r="R19" s="44">
        <f t="shared" ref="R19:V19" ca="1" si="6">SUM(R17,R14)</f>
        <v>2795211.639324408</v>
      </c>
      <c r="S19" s="44">
        <f t="shared" ca="1" si="6"/>
        <v>2952265.5356949167</v>
      </c>
      <c r="T19" s="44">
        <f t="shared" ca="1" si="6"/>
        <v>3147507.0019851723</v>
      </c>
      <c r="U19" s="44">
        <f t="shared" ca="1" si="6"/>
        <v>3349568.2757757064</v>
      </c>
      <c r="V19" s="44">
        <f t="shared" ca="1" si="6"/>
        <v>3516786.6935897251</v>
      </c>
      <c r="W19" s="57"/>
    </row>
    <row r="20" spans="2:25" s="48" customFormat="1" ht="15" customHeight="1" x14ac:dyDescent="0.35">
      <c r="B20" s="56"/>
      <c r="C20" s="568"/>
      <c r="D20" s="568"/>
      <c r="E20" s="568"/>
      <c r="F20" s="569"/>
      <c r="G20" s="569"/>
      <c r="H20" s="569"/>
      <c r="I20" s="569"/>
      <c r="J20" s="569"/>
      <c r="K20" s="569"/>
      <c r="M20" s="56"/>
      <c r="W20" s="57"/>
    </row>
    <row r="21" spans="2:25" s="48" customFormat="1" ht="15" customHeight="1" x14ac:dyDescent="0.35">
      <c r="B21" s="56"/>
      <c r="C21" s="492" t="str">
        <f>Financials!C21</f>
        <v>Depreciation</v>
      </c>
      <c r="D21" s="492"/>
      <c r="E21" s="492" t="str">
        <f>Financials!G21</f>
        <v>USD</v>
      </c>
      <c r="F21" s="570">
        <f>Financials!N21</f>
        <v>0</v>
      </c>
      <c r="G21" s="570">
        <f>Financials!O21</f>
        <v>-300000</v>
      </c>
      <c r="H21" s="570">
        <f>Financials!P21</f>
        <v>-300000</v>
      </c>
      <c r="I21" s="570">
        <f>Financials!Q21</f>
        <v>-300000</v>
      </c>
      <c r="J21" s="570">
        <f>Financials!R21</f>
        <v>-300000</v>
      </c>
      <c r="K21" s="570">
        <f>Financials!S21</f>
        <v>-350000</v>
      </c>
      <c r="M21" s="56"/>
      <c r="N21" s="47" t="str">
        <f>Financials!C53</f>
        <v>Short-Term Provisions</v>
      </c>
      <c r="O21" s="47"/>
      <c r="P21" s="47" t="str">
        <f>Financials!G53</f>
        <v>USD</v>
      </c>
      <c r="Q21" s="38">
        <f>Financials!N53</f>
        <v>0</v>
      </c>
      <c r="R21" s="38">
        <f>Financials!O53</f>
        <v>0</v>
      </c>
      <c r="S21" s="38">
        <f>Financials!P53</f>
        <v>0</v>
      </c>
      <c r="T21" s="38">
        <f>Financials!Q53</f>
        <v>0</v>
      </c>
      <c r="U21" s="38">
        <f>Financials!R53</f>
        <v>0</v>
      </c>
      <c r="V21" s="38">
        <f>Financials!S53</f>
        <v>0</v>
      </c>
      <c r="W21" s="57"/>
    </row>
    <row r="22" spans="2:25" s="48" customFormat="1" ht="15" customHeight="1" x14ac:dyDescent="0.35">
      <c r="B22" s="56"/>
      <c r="C22" s="566" t="str">
        <f>Financials!C25</f>
        <v>Extraordinary Expenses</v>
      </c>
      <c r="D22" s="566"/>
      <c r="E22" s="566" t="str">
        <f>Financials!G25</f>
        <v>USD</v>
      </c>
      <c r="F22" s="567">
        <f>Financials!N25</f>
        <v>0</v>
      </c>
      <c r="G22" s="567">
        <f>Financials!O25</f>
        <v>0</v>
      </c>
      <c r="H22" s="567">
        <f>Financials!P25</f>
        <v>0</v>
      </c>
      <c r="I22" s="567">
        <f>Financials!Q25</f>
        <v>0</v>
      </c>
      <c r="J22" s="567">
        <f>Financials!R25</f>
        <v>0</v>
      </c>
      <c r="K22" s="567">
        <f>Financials!S25</f>
        <v>0</v>
      </c>
      <c r="M22" s="56"/>
      <c r="N22" s="47" t="str">
        <f>Financials!C54</f>
        <v>Payables</v>
      </c>
      <c r="O22" s="47"/>
      <c r="P22" s="47" t="str">
        <f>Financials!G54</f>
        <v>USD</v>
      </c>
      <c r="Q22" s="38">
        <f ca="1">Financials!N54</f>
        <v>144191.78082191781</v>
      </c>
      <c r="R22" s="38">
        <f ca="1">Financials!O54</f>
        <v>173606.90410958906</v>
      </c>
      <c r="S22" s="38">
        <f ca="1">Financials!P54</f>
        <v>186117.51092896174</v>
      </c>
      <c r="T22" s="38">
        <f ca="1">Financials!Q54</f>
        <v>192459.52885273972</v>
      </c>
      <c r="U22" s="38">
        <f ca="1">Financials!R54</f>
        <v>202082.50529537676</v>
      </c>
      <c r="V22" s="38">
        <f ca="1">Financials!S54</f>
        <v>212186.6305601456</v>
      </c>
      <c r="W22" s="57"/>
    </row>
    <row r="23" spans="2:25" s="48" customFormat="1" ht="15" customHeight="1" x14ac:dyDescent="0.35">
      <c r="B23" s="56"/>
      <c r="C23" s="563" t="str">
        <f>Financials!C22</f>
        <v>EBIT</v>
      </c>
      <c r="D23" s="105"/>
      <c r="E23" s="563" t="str">
        <f>Financials!G22</f>
        <v>USD</v>
      </c>
      <c r="F23" s="564">
        <f t="shared" ref="F23:K23" si="7">F18+F21+F22</f>
        <v>1281500</v>
      </c>
      <c r="G23" s="564">
        <f t="shared" si="7"/>
        <v>800684.68181818142</v>
      </c>
      <c r="H23" s="564">
        <f t="shared" si="7"/>
        <v>883236.03295454499</v>
      </c>
      <c r="I23" s="564">
        <f t="shared" si="7"/>
        <v>961473.36877840851</v>
      </c>
      <c r="J23" s="564">
        <f t="shared" si="7"/>
        <v>960055.14428096544</v>
      </c>
      <c r="K23" s="564">
        <f t="shared" si="7"/>
        <v>885187.69736921811</v>
      </c>
      <c r="M23" s="56"/>
      <c r="N23" s="47" t="str">
        <f>Financials!C55</f>
        <v>Other Current Liabilities</v>
      </c>
      <c r="O23" s="47"/>
      <c r="P23" s="47" t="str">
        <f>Financials!G55</f>
        <v>USD</v>
      </c>
      <c r="Q23" s="38">
        <f>Financials!N55</f>
        <v>13157.5</v>
      </c>
      <c r="R23" s="38">
        <f>Financials!O55</f>
        <v>15841.630000000003</v>
      </c>
      <c r="S23" s="38">
        <f>Financials!P55</f>
        <v>17029.752250000001</v>
      </c>
      <c r="T23" s="38">
        <f>Financials!Q55</f>
        <v>17561.932007812502</v>
      </c>
      <c r="U23" s="38">
        <f>Financials!R55</f>
        <v>18440.028608203127</v>
      </c>
      <c r="V23" s="38">
        <f>Financials!S55</f>
        <v>19362.030038613288</v>
      </c>
      <c r="W23" s="57"/>
    </row>
    <row r="24" spans="2:25" s="48" customFormat="1" ht="15" customHeight="1" x14ac:dyDescent="0.35">
      <c r="B24" s="56"/>
      <c r="C24" s="51" t="str">
        <f>Financials!C23</f>
        <v>EBIT Margin %</v>
      </c>
      <c r="D24" s="51"/>
      <c r="E24" s="51" t="str">
        <f>Financials!G23</f>
        <v>% of Revenue</v>
      </c>
      <c r="F24" s="394">
        <f>Financials!N23</f>
        <v>0.24349230476914308</v>
      </c>
      <c r="G24" s="394">
        <f>Financials!O23</f>
        <v>0.14152060798610422</v>
      </c>
      <c r="H24" s="394">
        <f>Financials!P23</f>
        <v>0.14522001588559375</v>
      </c>
      <c r="I24" s="394">
        <f>Financials!Q23</f>
        <v>0.15055585928498105</v>
      </c>
      <c r="J24" s="394">
        <f>Financials!R23</f>
        <v>0.14317502986943154</v>
      </c>
      <c r="K24" s="394">
        <f>Financials!S23</f>
        <v>0.12572370577417474</v>
      </c>
      <c r="M24" s="56"/>
      <c r="N24" s="867" t="str">
        <f>Financials!C56</f>
        <v>Short-term Liabilities</v>
      </c>
      <c r="O24" s="867"/>
      <c r="P24" s="867" t="str">
        <f>Financials!G56</f>
        <v>USD</v>
      </c>
      <c r="Q24" s="8">
        <f ca="1">SUM(Q21:Q23)</f>
        <v>157349.28082191781</v>
      </c>
      <c r="R24" s="8">
        <f t="shared" ref="R24:V24" ca="1" si="8">SUM(R21:R23)</f>
        <v>189448.53410958906</v>
      </c>
      <c r="S24" s="8">
        <f t="shared" ca="1" si="8"/>
        <v>203147.26317896173</v>
      </c>
      <c r="T24" s="8">
        <f t="shared" ca="1" si="8"/>
        <v>210021.46086055221</v>
      </c>
      <c r="U24" s="8">
        <f t="shared" ca="1" si="8"/>
        <v>220522.5339035799</v>
      </c>
      <c r="V24" s="8">
        <f t="shared" ca="1" si="8"/>
        <v>231548.6605987589</v>
      </c>
      <c r="W24" s="57"/>
    </row>
    <row r="25" spans="2:25" s="48" customFormat="1" ht="15" customHeight="1" x14ac:dyDescent="0.35">
      <c r="B25" s="56"/>
      <c r="C25" s="568"/>
      <c r="D25" s="568"/>
      <c r="E25" s="568"/>
      <c r="F25" s="569"/>
      <c r="G25" s="569"/>
      <c r="H25" s="569"/>
      <c r="I25" s="569"/>
      <c r="J25" s="569"/>
      <c r="K25" s="569"/>
      <c r="M25" s="56"/>
      <c r="W25" s="57"/>
    </row>
    <row r="26" spans="2:25" s="48" customFormat="1" ht="15" customHeight="1" x14ac:dyDescent="0.35">
      <c r="B26" s="56"/>
      <c r="C26" s="48" t="str">
        <f>Financials!C26</f>
        <v>Interest Expense</v>
      </c>
      <c r="E26" s="48" t="str">
        <f>Financials!G26</f>
        <v>USD</v>
      </c>
      <c r="F26" s="570">
        <f>Financials!N26</f>
        <v>-50000</v>
      </c>
      <c r="G26" s="570">
        <f>Financials!O26</f>
        <v>-46250</v>
      </c>
      <c r="H26" s="570">
        <f>Financials!P26</f>
        <v>-38750</v>
      </c>
      <c r="I26" s="570">
        <f>Financials!Q26</f>
        <v>-31250</v>
      </c>
      <c r="J26" s="570">
        <f>Financials!R26</f>
        <v>-23750</v>
      </c>
      <c r="K26" s="570">
        <f>Financials!S26</f>
        <v>-16250</v>
      </c>
      <c r="M26" s="56"/>
      <c r="N26" s="47" t="str">
        <f>Financials!C58</f>
        <v>Long-Term Provisions</v>
      </c>
      <c r="O26" s="47"/>
      <c r="P26" s="47" t="str">
        <f>Financials!G58</f>
        <v>USD</v>
      </c>
      <c r="Q26" s="38">
        <f>Financials!N58</f>
        <v>0</v>
      </c>
      <c r="R26" s="38">
        <f>Financials!O58</f>
        <v>0</v>
      </c>
      <c r="S26" s="38">
        <f>Financials!P58</f>
        <v>0</v>
      </c>
      <c r="T26" s="38">
        <f>Financials!Q58</f>
        <v>0</v>
      </c>
      <c r="U26" s="38">
        <f>Financials!R58</f>
        <v>0</v>
      </c>
      <c r="V26" s="38">
        <f>Financials!S58</f>
        <v>0</v>
      </c>
      <c r="W26" s="57"/>
    </row>
    <row r="27" spans="2:25" s="48" customFormat="1" ht="15" customHeight="1" x14ac:dyDescent="0.35">
      <c r="B27" s="56"/>
      <c r="C27" s="48" t="str">
        <f>Financials!C30</f>
        <v>Income Taxes</v>
      </c>
      <c r="D27" s="61"/>
      <c r="E27" s="48" t="str">
        <f>Financials!G30</f>
        <v>USD</v>
      </c>
      <c r="F27" s="571">
        <f>Financials!N30</f>
        <v>-307875</v>
      </c>
      <c r="G27" s="571">
        <f>Financials!O30</f>
        <v>-188608.67045454535</v>
      </c>
      <c r="H27" s="571">
        <f>Financials!P30</f>
        <v>-211121.50823863625</v>
      </c>
      <c r="I27" s="571">
        <f>Financials!Q30</f>
        <v>-232555.84219460213</v>
      </c>
      <c r="J27" s="571">
        <f>Financials!R30</f>
        <v>-234076.28607024136</v>
      </c>
      <c r="K27" s="571">
        <f>Financials!S30</f>
        <v>-217234.42434230453</v>
      </c>
      <c r="M27" s="56"/>
      <c r="N27" s="47" t="str">
        <f>Financials!C59</f>
        <v>Financial Debt</v>
      </c>
      <c r="O27" s="47"/>
      <c r="P27" s="47" t="str">
        <f>Financials!G59</f>
        <v>USD</v>
      </c>
      <c r="Q27" s="38">
        <f>Financials!N59</f>
        <v>2000000</v>
      </c>
      <c r="R27" s="38">
        <f>Financials!O59</f>
        <v>1700000</v>
      </c>
      <c r="S27" s="38">
        <f>Financials!P59</f>
        <v>1400000</v>
      </c>
      <c r="T27" s="38">
        <f>Financials!Q59</f>
        <v>1100000</v>
      </c>
      <c r="U27" s="38">
        <f>Financials!R59</f>
        <v>800000</v>
      </c>
      <c r="V27" s="38">
        <f>Financials!S59</f>
        <v>500000</v>
      </c>
      <c r="W27" s="57"/>
    </row>
    <row r="28" spans="2:25" s="47" customFormat="1" ht="15" customHeight="1" x14ac:dyDescent="0.35">
      <c r="B28" s="54"/>
      <c r="C28" s="512" t="str">
        <f>Financials!C31</f>
        <v>Net Income/Loss</v>
      </c>
      <c r="D28" s="512"/>
      <c r="E28" s="512" t="str">
        <f>Financials!G31</f>
        <v>USD</v>
      </c>
      <c r="F28" s="572">
        <f t="shared" ref="F28" si="9">F23+F26+F27</f>
        <v>923625</v>
      </c>
      <c r="G28" s="572">
        <f t="shared" ref="G28:K28" si="10">G23+G26+G27</f>
        <v>565826.011363636</v>
      </c>
      <c r="H28" s="572">
        <f t="shared" si="10"/>
        <v>633364.5247159088</v>
      </c>
      <c r="I28" s="572">
        <f t="shared" si="10"/>
        <v>697667.52658380638</v>
      </c>
      <c r="J28" s="572">
        <f t="shared" si="10"/>
        <v>702228.85821072408</v>
      </c>
      <c r="K28" s="572">
        <f t="shared" si="10"/>
        <v>651703.27302691364</v>
      </c>
      <c r="M28" s="56"/>
      <c r="N28" s="867" t="str">
        <f>Financials!C60</f>
        <v>Long-term Liabilities</v>
      </c>
      <c r="O28" s="867"/>
      <c r="P28" s="867" t="str">
        <f>Financials!G60</f>
        <v>USD</v>
      </c>
      <c r="Q28" s="8">
        <f>SUM(Q26:Q27)</f>
        <v>2000000</v>
      </c>
      <c r="R28" s="8">
        <f t="shared" ref="R28:V28" si="11">SUM(R26:R27)</f>
        <v>1700000</v>
      </c>
      <c r="S28" s="8">
        <f t="shared" si="11"/>
        <v>1400000</v>
      </c>
      <c r="T28" s="8">
        <f t="shared" si="11"/>
        <v>1100000</v>
      </c>
      <c r="U28" s="8">
        <f t="shared" si="11"/>
        <v>800000</v>
      </c>
      <c r="V28" s="8">
        <f t="shared" si="11"/>
        <v>500000</v>
      </c>
      <c r="W28" s="57"/>
      <c r="X28" s="48"/>
      <c r="Y28" s="48"/>
    </row>
    <row r="29" spans="2:25" s="48" customFormat="1" ht="15" customHeight="1" x14ac:dyDescent="0.35">
      <c r="B29" s="56"/>
      <c r="C29" s="51" t="str">
        <f>Financials!C32</f>
        <v>Net Income/Loss Margin %</v>
      </c>
      <c r="D29" s="51"/>
      <c r="E29" s="51" t="str">
        <f>Financials!G32</f>
        <v>% of Revenue</v>
      </c>
      <c r="F29" s="420">
        <f>Financials!N32</f>
        <v>0.1754940148204446</v>
      </c>
      <c r="G29" s="420">
        <f>Financials!O32</f>
        <v>0.10000945810615326</v>
      </c>
      <c r="H29" s="420">
        <f>Financials!P32</f>
        <v>0.10413661004402132</v>
      </c>
      <c r="I29" s="420">
        <f>Financials!Q32</f>
        <v>0.10924684694440091</v>
      </c>
      <c r="J29" s="420">
        <f>Financials!R32</f>
        <v>0.10472485705474556</v>
      </c>
      <c r="K29" s="420">
        <f>Financials!S32</f>
        <v>9.2561781861194209E-2</v>
      </c>
      <c r="M29" s="54"/>
      <c r="W29" s="55"/>
      <c r="X29" s="47"/>
      <c r="Y29" s="47"/>
    </row>
    <row r="30" spans="2:25" s="48" customFormat="1" ht="15" customHeight="1" x14ac:dyDescent="0.35">
      <c r="B30" s="56"/>
      <c r="C30" s="58"/>
      <c r="M30" s="56"/>
      <c r="N30" s="581" t="str">
        <f>Financials!C62</f>
        <v>Shareholder's Equity</v>
      </c>
      <c r="O30" s="581"/>
      <c r="P30" s="581" t="str">
        <f>Financials!G62</f>
        <v>USD</v>
      </c>
      <c r="Q30" s="46">
        <f ca="1">Financials!N62</f>
        <v>509684.89726027427</v>
      </c>
      <c r="R30" s="46">
        <f ca="1">Financials!O62</f>
        <v>905763.10521481954</v>
      </c>
      <c r="S30" s="46">
        <f ca="1">Financials!P62</f>
        <v>1349118.2725159556</v>
      </c>
      <c r="T30" s="46">
        <f ca="1">Financials!Q62</f>
        <v>1837485.54112462</v>
      </c>
      <c r="U30" s="46">
        <f ca="1">Financials!R62</f>
        <v>2329045.7418721272</v>
      </c>
      <c r="V30" s="46">
        <f ca="1">Financials!S62</f>
        <v>2785238.0329909665</v>
      </c>
      <c r="W30" s="57"/>
      <c r="X30" s="47"/>
      <c r="Y30" s="47"/>
    </row>
    <row r="31" spans="2:25" s="48" customFormat="1" ht="15" customHeight="1" x14ac:dyDescent="0.35">
      <c r="B31" s="56"/>
      <c r="C31" s="106" t="s">
        <v>243</v>
      </c>
      <c r="M31" s="56"/>
      <c r="W31" s="57"/>
    </row>
    <row r="32" spans="2:25" s="48" customFormat="1" ht="15" customHeight="1" x14ac:dyDescent="0.35">
      <c r="B32" s="56"/>
      <c r="C32" s="107" t="str">
        <f>Financials!C133</f>
        <v>Revenue/Invested Capital</v>
      </c>
      <c r="D32" s="102"/>
      <c r="E32" s="107" t="str">
        <f>Financials!G133</f>
        <v>x</v>
      </c>
      <c r="F32" s="103">
        <f ca="1">Financials!N133</f>
        <v>2.1337395063735567</v>
      </c>
      <c r="G32" s="103">
        <f ca="1">Financials!O133</f>
        <v>2.7097471375344728</v>
      </c>
      <c r="H32" s="103">
        <f ca="1">Financials!P133</f>
        <v>4.0554545936247957</v>
      </c>
      <c r="I32" s="103">
        <f ca="1">Financials!Q133</f>
        <v>5.1993448093314676</v>
      </c>
      <c r="J32" s="103">
        <f ca="1">Financials!R133</f>
        <v>6.2178477408817621</v>
      </c>
      <c r="K32" s="103">
        <f ca="1">Financials!S133</f>
        <v>7.7919327626729782</v>
      </c>
      <c r="M32" s="56"/>
      <c r="N32" s="64" t="str">
        <f>Financials!C64</f>
        <v>Liabilities &amp; Shareholder's Equity</v>
      </c>
      <c r="O32" s="64"/>
      <c r="P32" s="64" t="str">
        <f>Financials!G64</f>
        <v>USD</v>
      </c>
      <c r="Q32" s="70">
        <f ca="1">SUM(Q30,Q28,Q24)</f>
        <v>2667034.1780821923</v>
      </c>
      <c r="R32" s="70">
        <f t="shared" ref="R32:V32" ca="1" si="12">SUM(R30,R28,R24)</f>
        <v>2795211.6393244085</v>
      </c>
      <c r="S32" s="70">
        <f t="shared" ca="1" si="12"/>
        <v>2952265.5356949172</v>
      </c>
      <c r="T32" s="70">
        <f t="shared" ca="1" si="12"/>
        <v>3147507.0019851723</v>
      </c>
      <c r="U32" s="70">
        <f t="shared" ca="1" si="12"/>
        <v>3349568.2757757069</v>
      </c>
      <c r="V32" s="70">
        <f t="shared" ca="1" si="12"/>
        <v>3516786.6935897255</v>
      </c>
      <c r="W32" s="57"/>
    </row>
    <row r="33" spans="2:25" s="48" customFormat="1" x14ac:dyDescent="0.35">
      <c r="B33" s="56"/>
      <c r="C33" s="116" t="str">
        <f>Financials!C134</f>
        <v>ROIC</v>
      </c>
      <c r="D33" s="117"/>
      <c r="E33" s="116" t="str">
        <f>Financials!G134</f>
        <v>%</v>
      </c>
      <c r="F33" s="118">
        <f ca="1">Financials!N134</f>
        <v>0</v>
      </c>
      <c r="G33" s="118">
        <f ca="1">Financials!O134</f>
        <v>0.28761379679436305</v>
      </c>
      <c r="H33" s="118">
        <f ca="1">Financials!P134</f>
        <v>0.44169988538212279</v>
      </c>
      <c r="I33" s="118">
        <f ca="1">Financials!Q134</f>
        <v>0.58709386911585382</v>
      </c>
      <c r="J33" s="118">
        <f ca="1">Financials!R134</f>
        <v>0.66768040201824275</v>
      </c>
      <c r="K33" s="118">
        <f ca="1">Financials!S134</f>
        <v>0.73472299654983764</v>
      </c>
      <c r="M33" s="56"/>
      <c r="W33" s="57"/>
    </row>
    <row r="34" spans="2:25" s="48" customFormat="1" x14ac:dyDescent="0.35">
      <c r="B34" s="56"/>
      <c r="C34" s="107" t="str">
        <f>Financials!C135</f>
        <v>ROA</v>
      </c>
      <c r="D34" s="102"/>
      <c r="E34" s="107" t="str">
        <f>Financials!G135</f>
        <v>%</v>
      </c>
      <c r="F34" s="108">
        <f ca="1">Financials!N135</f>
        <v>0.29423440552355234</v>
      </c>
      <c r="G34" s="108">
        <f ca="1">Financials!O135</f>
        <v>0.20107080676594896</v>
      </c>
      <c r="H34" s="108">
        <f ca="1">Financials!P135</f>
        <v>0.23388158116996749</v>
      </c>
      <c r="I34" s="108">
        <f ca="1">Financials!Q135</f>
        <v>0.2389982649618714</v>
      </c>
      <c r="J34" s="108">
        <f ca="1">Financials!R135</f>
        <v>0.2234786660686259</v>
      </c>
      <c r="K34" s="108">
        <f ca="1">Financials!S135</f>
        <v>0.1945583285475391</v>
      </c>
      <c r="M34" s="56"/>
      <c r="N34" s="169" t="s">
        <v>64</v>
      </c>
      <c r="O34" s="169"/>
      <c r="P34" s="169"/>
      <c r="W34" s="57"/>
    </row>
    <row r="35" spans="2:25" s="48" customFormat="1" x14ac:dyDescent="0.35">
      <c r="B35" s="56"/>
      <c r="C35" s="107" t="str">
        <f>Financials!C136</f>
        <v>ROE</v>
      </c>
      <c r="D35" s="102"/>
      <c r="E35" s="107" t="str">
        <f>Financials!G136</f>
        <v>%</v>
      </c>
      <c r="F35" s="108">
        <f ca="1">Financials!N136</f>
        <v>0.81503877086755383</v>
      </c>
      <c r="G35" s="108">
        <f ca="1">Financials!O136</f>
        <v>0.62054845588546825</v>
      </c>
      <c r="H35" s="108">
        <f ca="1">Financials!P136</f>
        <v>0.56177192376594298</v>
      </c>
      <c r="I35" s="108">
        <f ca="1">Financials!Q136</f>
        <v>0.4378752850275085</v>
      </c>
      <c r="J35" s="108">
        <f ca="1">Financials!R136</f>
        <v>0.33708080439787369</v>
      </c>
      <c r="K35" s="108">
        <f ca="1">Financials!S136</f>
        <v>0.25485612520371315</v>
      </c>
      <c r="M35" s="56"/>
      <c r="N35" s="105" t="str">
        <f>Financials!C117</f>
        <v>Liquidity Ratios</v>
      </c>
      <c r="W35" s="57"/>
    </row>
    <row r="36" spans="2:25" s="48" customFormat="1" x14ac:dyDescent="0.35">
      <c r="B36" s="56"/>
      <c r="M36" s="56"/>
      <c r="N36" s="102" t="str">
        <f>Financials!C118</f>
        <v>Cash Ratio</v>
      </c>
      <c r="O36" s="102"/>
      <c r="P36" s="102" t="str">
        <f>Financials!G118</f>
        <v>x</v>
      </c>
      <c r="Q36" s="103">
        <f ca="1">Financials!N118</f>
        <v>3.8131728144284192</v>
      </c>
      <c r="R36" s="103">
        <f ca="1">Financials!O118</f>
        <v>5.1290940183756648</v>
      </c>
      <c r="S36" s="103">
        <f ca="1">Financials!P118</f>
        <v>6.8115024629844498</v>
      </c>
      <c r="T36" s="103">
        <f ca="1">Financials!Q118</f>
        <v>8.79120608992881</v>
      </c>
      <c r="U36" s="103">
        <f ca="1">Financials!R118</f>
        <v>9.356617349649742</v>
      </c>
      <c r="V36" s="103">
        <f ca="1">Financials!S118</f>
        <v>10.985821349576725</v>
      </c>
      <c r="W36" s="57"/>
    </row>
    <row r="37" spans="2:25" s="48" customFormat="1" x14ac:dyDescent="0.35">
      <c r="B37" s="56"/>
      <c r="M37" s="56"/>
      <c r="N37" s="102" t="str">
        <f>Financials!C119</f>
        <v>Quick Ratio</v>
      </c>
      <c r="O37" s="102"/>
      <c r="P37" s="102" t="str">
        <f>Financials!G119</f>
        <v>x</v>
      </c>
      <c r="Q37" s="103">
        <f ca="1">Financials!N119</f>
        <v>6.5623137078992091</v>
      </c>
      <c r="R37" s="103">
        <f ca="1">Financials!O119</f>
        <v>7.5836841018317278</v>
      </c>
      <c r="S37" s="103">
        <f ca="1">Financials!P119</f>
        <v>9.265530340741142</v>
      </c>
      <c r="T37" s="103">
        <f ca="1">Financials!Q119</f>
        <v>11.290425083993165</v>
      </c>
      <c r="U37" s="103">
        <f ca="1">Financials!R119</f>
        <v>11.855836343714097</v>
      </c>
      <c r="V37" s="103">
        <f ca="1">Financials!S119</f>
        <v>13.485040343641078</v>
      </c>
      <c r="W37" s="57"/>
    </row>
    <row r="38" spans="2:25" s="48" customFormat="1" x14ac:dyDescent="0.35">
      <c r="B38" s="56"/>
      <c r="C38" s="58"/>
      <c r="M38" s="56"/>
      <c r="N38" s="102" t="str">
        <f>Financials!C120</f>
        <v>Current Ratio</v>
      </c>
      <c r="O38" s="102"/>
      <c r="P38" s="102" t="str">
        <f>Financials!G120</f>
        <v>x</v>
      </c>
      <c r="Q38" s="103">
        <f ca="1">Financials!N120</f>
        <v>7.4168383356197136</v>
      </c>
      <c r="R38" s="103">
        <f ca="1">Financials!O120</f>
        <v>8.4202902219430023</v>
      </c>
      <c r="S38" s="103">
        <f ca="1">Financials!P120</f>
        <v>10.102353847056174</v>
      </c>
      <c r="T38" s="103">
        <f ca="1">Financials!Q120</f>
        <v>12.129746129499779</v>
      </c>
      <c r="U38" s="103">
        <f ca="1">Financials!R120</f>
        <v>12.695157389220707</v>
      </c>
      <c r="V38" s="103">
        <f ca="1">Financials!S120</f>
        <v>14.32436138914769</v>
      </c>
      <c r="W38" s="57"/>
    </row>
    <row r="39" spans="2:25" s="48" customFormat="1" x14ac:dyDescent="0.35">
      <c r="B39" s="53"/>
      <c r="C39" s="555" t="str">
        <f>Financials!C71</f>
        <v>Cash Flow Statement</v>
      </c>
      <c r="D39" s="555"/>
      <c r="E39" s="555" t="str">
        <f t="shared" ref="E39:K39" si="13">P7</f>
        <v>Unit</v>
      </c>
      <c r="F39" s="872">
        <f t="shared" ca="1" si="13"/>
        <v>2026</v>
      </c>
      <c r="G39" s="872">
        <f t="shared" ca="1" si="13"/>
        <v>2027</v>
      </c>
      <c r="H39" s="872">
        <f t="shared" ca="1" si="13"/>
        <v>2028</v>
      </c>
      <c r="I39" s="872">
        <f t="shared" ca="1" si="13"/>
        <v>2029</v>
      </c>
      <c r="J39" s="872">
        <f t="shared" ca="1" si="13"/>
        <v>2030</v>
      </c>
      <c r="K39" s="872">
        <f t="shared" ca="1" si="13"/>
        <v>2031</v>
      </c>
      <c r="L39" s="555"/>
      <c r="M39" s="56"/>
      <c r="W39" s="57"/>
    </row>
    <row r="40" spans="2:25" s="48" customFormat="1" x14ac:dyDescent="0.35">
      <c r="B40" s="556"/>
      <c r="C40" s="573" t="str">
        <f>N8</f>
        <v>Forecast Year</v>
      </c>
      <c r="D40" s="573"/>
      <c r="E40" s="574"/>
      <c r="F40" s="558">
        <f t="shared" ref="F40:K40" si="14">Q8</f>
        <v>0</v>
      </c>
      <c r="G40" s="575">
        <f t="shared" si="14"/>
        <v>1</v>
      </c>
      <c r="H40" s="575">
        <f t="shared" si="14"/>
        <v>2</v>
      </c>
      <c r="I40" s="575">
        <f t="shared" si="14"/>
        <v>3</v>
      </c>
      <c r="J40" s="575">
        <f t="shared" si="14"/>
        <v>4</v>
      </c>
      <c r="K40" s="575">
        <f t="shared" si="14"/>
        <v>5</v>
      </c>
      <c r="L40" s="575"/>
      <c r="M40" s="56"/>
      <c r="N40" s="105" t="str">
        <f>Financials!C109</f>
        <v>Bank Ratios</v>
      </c>
      <c r="W40" s="57"/>
    </row>
    <row r="41" spans="2:25" s="48" customFormat="1" x14ac:dyDescent="0.35">
      <c r="B41" s="54"/>
      <c r="C41" s="47"/>
      <c r="D41" s="47"/>
      <c r="E41" s="47"/>
      <c r="F41" s="576"/>
      <c r="G41" s="576"/>
      <c r="H41" s="576"/>
      <c r="I41" s="576"/>
      <c r="J41" s="576"/>
      <c r="K41" s="576"/>
      <c r="L41" s="47"/>
      <c r="M41" s="56"/>
      <c r="N41" s="102" t="str">
        <f>Financials!C110</f>
        <v>Financial Debt/EBITDA</v>
      </c>
      <c r="O41" s="102"/>
      <c r="P41" s="102" t="str">
        <f>Financials!G110</f>
        <v>x</v>
      </c>
      <c r="Q41" s="103">
        <f>Financials!N110</f>
        <v>1.5606710885680843</v>
      </c>
      <c r="R41" s="103">
        <f>Financials!O110</f>
        <v>1.5444931941742217</v>
      </c>
      <c r="S41" s="103">
        <f>Financials!P110</f>
        <v>1.1831958806259428</v>
      </c>
      <c r="T41" s="103">
        <f>Financials!Q110</f>
        <v>0.87199621270262972</v>
      </c>
      <c r="U41" s="103">
        <f>Financials!R110</f>
        <v>0.63489284864315199</v>
      </c>
      <c r="V41" s="103">
        <f>Financials!S110</f>
        <v>0.40479677790260704</v>
      </c>
      <c r="W41" s="57"/>
    </row>
    <row r="42" spans="2:25" s="48" customFormat="1" x14ac:dyDescent="0.35">
      <c r="B42" s="56"/>
      <c r="C42" s="47" t="str">
        <f>Financials!C83</f>
        <v>Cash Flow from Operations</v>
      </c>
      <c r="D42" s="47"/>
      <c r="E42" s="47" t="str">
        <f>Financials!G83</f>
        <v>USD</v>
      </c>
      <c r="F42" s="577">
        <f ca="1">Financials!N83</f>
        <v>1648008.4589041097</v>
      </c>
      <c r="G42" s="577">
        <f ca="1">Financials!O83</f>
        <v>841447.14650062227</v>
      </c>
      <c r="H42" s="577">
        <f ca="1">Financials!P83</f>
        <v>902048.09781528939</v>
      </c>
      <c r="I42" s="577">
        <f ca="1">Financials!Q83</f>
        <v>971904.12021612539</v>
      </c>
      <c r="J42" s="577">
        <f ca="1">Financials!R83</f>
        <v>977671.67844114464</v>
      </c>
      <c r="K42" s="577">
        <f ca="1">Financials!S83</f>
        <v>975918.23426885519</v>
      </c>
      <c r="M42" s="56"/>
      <c r="N42" s="102" t="str">
        <f>Financials!C113</f>
        <v>Equity %</v>
      </c>
      <c r="O42" s="102"/>
      <c r="P42" s="102" t="str">
        <f>Financials!G113</f>
        <v>%</v>
      </c>
      <c r="Q42" s="104">
        <f ca="1">Financials!N113</f>
        <v>0.26689476258177081</v>
      </c>
      <c r="R42" s="104">
        <f ca="1">Financials!O113</f>
        <v>0.55430095581942229</v>
      </c>
      <c r="S42" s="104">
        <f ca="1">Financials!P113</f>
        <v>0.98808982535510703</v>
      </c>
      <c r="T42" s="104">
        <f ca="1">Financials!Q113</f>
        <v>1.6839997493319707</v>
      </c>
      <c r="U42" s="104">
        <f ca="1">Financials!R113</f>
        <v>2.1854593673537499</v>
      </c>
      <c r="V42" s="104">
        <f ca="1">Financials!S113</f>
        <v>3.7562930816831197</v>
      </c>
      <c r="W42" s="57"/>
      <c r="Y42" s="436"/>
    </row>
    <row r="43" spans="2:25" s="48" customFormat="1" x14ac:dyDescent="0.35">
      <c r="B43" s="56"/>
      <c r="C43" s="47" t="str">
        <f>Financials!C87</f>
        <v>Cash Flow from Investments</v>
      </c>
      <c r="D43" s="47"/>
      <c r="E43" s="47" t="str">
        <f>Financials!G87</f>
        <v>USD</v>
      </c>
      <c r="F43" s="577">
        <f>Financials!N87</f>
        <v>-1500000</v>
      </c>
      <c r="G43" s="577">
        <f>Financials!O87</f>
        <v>0</v>
      </c>
      <c r="H43" s="577">
        <f>Financials!P87</f>
        <v>0</v>
      </c>
      <c r="I43" s="577">
        <f>Financials!Q87</f>
        <v>0</v>
      </c>
      <c r="J43" s="577">
        <f>Financials!R87</f>
        <v>-250000</v>
      </c>
      <c r="K43" s="577">
        <f>Financials!S87</f>
        <v>0</v>
      </c>
      <c r="M43" s="56"/>
      <c r="N43" s="102" t="str">
        <f>Financials!C114</f>
        <v>Financial Debt/Equity</v>
      </c>
      <c r="O43" s="102"/>
      <c r="P43" s="102" t="str">
        <f>Financials!G114</f>
        <v>%</v>
      </c>
      <c r="Q43" s="104">
        <f ca="1">Financials!N114</f>
        <v>2.7467951424997392</v>
      </c>
      <c r="R43" s="104">
        <f ca="1">Financials!O114</f>
        <v>0.80407410360983711</v>
      </c>
      <c r="S43" s="104">
        <f ca="1">Financials!P114</f>
        <v>1.2053736754765947E-2</v>
      </c>
      <c r="T43" s="104">
        <f ca="1">Financials!Q114</f>
        <v>-0.40617568357911454</v>
      </c>
      <c r="U43" s="104">
        <f ca="1">Financials!R114</f>
        <v>-0.54243029408922672</v>
      </c>
      <c r="V43" s="104">
        <f ca="1">Financials!S114</f>
        <v>-0.73378009163440461</v>
      </c>
      <c r="W43" s="57"/>
      <c r="Y43" s="436"/>
    </row>
    <row r="44" spans="2:25" s="48" customFormat="1" x14ac:dyDescent="0.35">
      <c r="B44" s="56"/>
      <c r="C44" s="562" t="str">
        <f>Financials!C93</f>
        <v>Cash Flow from Financing</v>
      </c>
      <c r="D44" s="562"/>
      <c r="E44" s="47" t="str">
        <f>Financials!G93</f>
        <v>USD</v>
      </c>
      <c r="F44" s="578">
        <f>Financials!N93</f>
        <v>-277087.5</v>
      </c>
      <c r="G44" s="578">
        <f>Financials!O93</f>
        <v>-469747.80340909079</v>
      </c>
      <c r="H44" s="578">
        <f>Financials!P93</f>
        <v>-490009.35741477262</v>
      </c>
      <c r="I44" s="578">
        <f>Financials!Q93</f>
        <v>-509300.25797514187</v>
      </c>
      <c r="J44" s="578">
        <f>Financials!R93</f>
        <v>-510668.65746321721</v>
      </c>
      <c r="K44" s="578">
        <f>Financials!S93</f>
        <v>-495510.98190807411</v>
      </c>
      <c r="M44" s="56"/>
      <c r="N44" s="455"/>
      <c r="O44" s="455"/>
      <c r="Q44" s="455"/>
      <c r="R44" s="436"/>
      <c r="S44" s="436"/>
      <c r="T44" s="436"/>
      <c r="U44" s="436"/>
      <c r="V44" s="436"/>
      <c r="W44" s="57"/>
      <c r="Y44" s="436"/>
    </row>
    <row r="45" spans="2:25" s="48" customFormat="1" x14ac:dyDescent="0.35">
      <c r="B45" s="56"/>
      <c r="C45" s="579" t="str">
        <f>Financials!C95</f>
        <v>Change in Cash</v>
      </c>
      <c r="D45" s="579"/>
      <c r="E45" s="64" t="str">
        <f>Financials!G95</f>
        <v>USD</v>
      </c>
      <c r="F45" s="514">
        <f ca="1">SUM(F42:F44)</f>
        <v>-129079.04109589034</v>
      </c>
      <c r="G45" s="514">
        <f ca="1">SUM(G42:G44)</f>
        <v>371699.34309153148</v>
      </c>
      <c r="H45" s="514">
        <f t="shared" ref="H45:K45" ca="1" si="15">SUM(H42:H44)</f>
        <v>412038.74040051678</v>
      </c>
      <c r="I45" s="514">
        <f t="shared" ca="1" si="15"/>
        <v>462603.86224098352</v>
      </c>
      <c r="J45" s="514">
        <f t="shared" ca="1" si="15"/>
        <v>217003.02097792743</v>
      </c>
      <c r="K45" s="514">
        <f t="shared" ca="1" si="15"/>
        <v>480407.25236078107</v>
      </c>
      <c r="L45" s="57"/>
      <c r="M45" s="56"/>
      <c r="N45" s="105" t="str">
        <f>Financials!C131</f>
        <v>Profitability</v>
      </c>
      <c r="O45" s="455"/>
      <c r="Q45" s="455"/>
      <c r="R45" s="436"/>
      <c r="S45" s="436"/>
      <c r="T45" s="436"/>
      <c r="U45" s="436"/>
      <c r="V45" s="436"/>
      <c r="W45" s="57"/>
      <c r="Y45" s="436"/>
    </row>
    <row r="46" spans="2:25" s="48" customFormat="1" x14ac:dyDescent="0.35">
      <c r="B46" s="56"/>
      <c r="C46" s="580"/>
      <c r="D46" s="580"/>
      <c r="E46" s="580"/>
      <c r="F46" s="581"/>
      <c r="G46" s="582"/>
      <c r="H46" s="582"/>
      <c r="I46" s="582"/>
      <c r="J46" s="582"/>
      <c r="K46" s="582"/>
      <c r="L46" s="57"/>
      <c r="M46" s="56"/>
      <c r="N46" s="102" t="str">
        <f>Financials!C132</f>
        <v>NOPLAT</v>
      </c>
      <c r="O46" s="455"/>
      <c r="P46" s="868" t="str">
        <f>Financials!G132</f>
        <v>USD</v>
      </c>
      <c r="Q46" s="869">
        <f>Financials!N132</f>
        <v>0</v>
      </c>
      <c r="R46" s="869">
        <f>Financials!O132</f>
        <v>600513.511363636</v>
      </c>
      <c r="S46" s="869">
        <f>Financials!P132</f>
        <v>662427.0247159088</v>
      </c>
      <c r="T46" s="869">
        <f>Financials!Q132</f>
        <v>721105.02658380638</v>
      </c>
      <c r="U46" s="869">
        <f>Financials!R132</f>
        <v>720041.35821072408</v>
      </c>
      <c r="V46" s="869">
        <f>Financials!S132</f>
        <v>663890.77302691364</v>
      </c>
      <c r="W46" s="57"/>
      <c r="Y46" s="436"/>
    </row>
    <row r="47" spans="2:25" s="48" customFormat="1" x14ac:dyDescent="0.35">
      <c r="B47" s="56"/>
      <c r="C47" s="105" t="s">
        <v>64</v>
      </c>
      <c r="D47" s="105"/>
      <c r="E47" s="580"/>
      <c r="F47" s="581"/>
      <c r="G47" s="582"/>
      <c r="H47" s="582"/>
      <c r="I47" s="582"/>
      <c r="J47" s="582"/>
      <c r="K47" s="582"/>
      <c r="L47" s="57"/>
      <c r="M47" s="56"/>
      <c r="N47" s="102" t="str">
        <f>Financials!C134</f>
        <v>ROIC</v>
      </c>
      <c r="O47" s="455"/>
      <c r="P47" s="102" t="str">
        <f>Financials!G134</f>
        <v>%</v>
      </c>
      <c r="Q47" s="870">
        <f ca="1">Financials!N134</f>
        <v>0</v>
      </c>
      <c r="R47" s="870">
        <f ca="1">Financials!O134</f>
        <v>0.28761379679436305</v>
      </c>
      <c r="S47" s="870">
        <f ca="1">Financials!P134</f>
        <v>0.44169988538212279</v>
      </c>
      <c r="T47" s="870">
        <f ca="1">Financials!Q134</f>
        <v>0.58709386911585382</v>
      </c>
      <c r="U47" s="870">
        <f ca="1">Financials!R134</f>
        <v>0.66768040201824275</v>
      </c>
      <c r="V47" s="870">
        <f ca="1">Financials!S134</f>
        <v>0.73472299654983764</v>
      </c>
      <c r="W47" s="57"/>
      <c r="Y47" s="436"/>
    </row>
    <row r="48" spans="2:25" s="48" customFormat="1" x14ac:dyDescent="0.35">
      <c r="B48" s="56"/>
      <c r="C48" s="583" t="str">
        <f>Financials!C111</f>
        <v>Interest Coverage</v>
      </c>
      <c r="D48" s="583"/>
      <c r="E48" s="583" t="str">
        <f>Financials!G111</f>
        <v>x</v>
      </c>
      <c r="F48" s="103">
        <f>Financials!L111</f>
        <v>34.031746031746032</v>
      </c>
      <c r="G48" s="103">
        <f>Financials!M111</f>
        <v>17.972602739726028</v>
      </c>
      <c r="H48" s="103">
        <f>Financials!O111</f>
        <v>17.31210122850122</v>
      </c>
      <c r="I48" s="103">
        <f>Financials!P111</f>
        <v>22.793187947214065</v>
      </c>
      <c r="J48" s="103">
        <f>Financials!Q111</f>
        <v>30.767147800909072</v>
      </c>
      <c r="K48" s="103">
        <f>Financials!R111</f>
        <v>40.423374496040651</v>
      </c>
      <c r="L48" s="57"/>
      <c r="M48" s="56"/>
      <c r="N48" s="102" t="str">
        <f>Financials!C135</f>
        <v>ROA</v>
      </c>
      <c r="O48" s="455"/>
      <c r="P48" s="102" t="str">
        <f>Financials!G135</f>
        <v>%</v>
      </c>
      <c r="Q48" s="870">
        <f ca="1">Financials!N135</f>
        <v>0.29423440552355234</v>
      </c>
      <c r="R48" s="870">
        <f ca="1">Financials!O135</f>
        <v>0.20107080676594896</v>
      </c>
      <c r="S48" s="870">
        <f ca="1">Financials!P135</f>
        <v>0.23388158116996749</v>
      </c>
      <c r="T48" s="870">
        <f ca="1">Financials!Q135</f>
        <v>0.2389982649618714</v>
      </c>
      <c r="U48" s="870">
        <f ca="1">Financials!R135</f>
        <v>0.2234786660686259</v>
      </c>
      <c r="V48" s="870">
        <f ca="1">Financials!S135</f>
        <v>0.1945583285475391</v>
      </c>
      <c r="W48" s="57"/>
      <c r="Y48" s="436"/>
    </row>
    <row r="49" spans="2:25" s="48" customFormat="1" x14ac:dyDescent="0.35">
      <c r="B49" s="56"/>
      <c r="C49" s="583" t="str">
        <f>Financials!C112</f>
        <v>Debt Service Coverage</v>
      </c>
      <c r="D49" s="583"/>
      <c r="E49" s="583" t="str">
        <f>Financials!G112</f>
        <v>x</v>
      </c>
      <c r="F49" s="103">
        <f>Financials!L112</f>
        <v>0.59119318181818181</v>
      </c>
      <c r="G49" s="103">
        <f>Financials!M112</f>
        <v>0.29039062500000001</v>
      </c>
      <c r="H49" s="103">
        <f>Financials!O112</f>
        <v>0.33283883021390354</v>
      </c>
      <c r="I49" s="103">
        <f>Financials!P112</f>
        <v>0.45240323193993487</v>
      </c>
      <c r="J49" s="103">
        <f>Financials!Q112</f>
        <v>0.6342432059852785</v>
      </c>
      <c r="K49" s="103">
        <f>Financials!R112</f>
        <v>0.87778607276340515</v>
      </c>
      <c r="L49" s="57"/>
      <c r="M49" s="56"/>
      <c r="N49" s="102" t="str">
        <f>Financials!C136</f>
        <v>ROE</v>
      </c>
      <c r="O49" s="455"/>
      <c r="P49" s="102" t="str">
        <f>Financials!G136</f>
        <v>%</v>
      </c>
      <c r="Q49" s="870">
        <f ca="1">Financials!N136</f>
        <v>0.81503877086755383</v>
      </c>
      <c r="R49" s="870">
        <f ca="1">Financials!O136</f>
        <v>0.62054845588546825</v>
      </c>
      <c r="S49" s="870">
        <f ca="1">Financials!P136</f>
        <v>0.56177192376594298</v>
      </c>
      <c r="T49" s="870">
        <f ca="1">Financials!Q136</f>
        <v>0.4378752850275085</v>
      </c>
      <c r="U49" s="870">
        <f ca="1">Financials!R136</f>
        <v>0.33708080439787369</v>
      </c>
      <c r="V49" s="870">
        <f ca="1">Financials!S136</f>
        <v>0.25485612520371315</v>
      </c>
      <c r="W49" s="57"/>
      <c r="Y49" s="436"/>
    </row>
    <row r="50" spans="2:25" s="48" customFormat="1" x14ac:dyDescent="0.35">
      <c r="B50" s="59"/>
      <c r="C50" s="584"/>
      <c r="D50" s="584"/>
      <c r="E50" s="584"/>
      <c r="F50" s="585"/>
      <c r="G50" s="585"/>
      <c r="H50" s="585"/>
      <c r="I50" s="585"/>
      <c r="J50" s="585"/>
      <c r="K50" s="63"/>
      <c r="M50" s="56"/>
      <c r="N50" s="455"/>
      <c r="O50" s="455"/>
      <c r="Q50" s="455"/>
      <c r="R50" s="436"/>
      <c r="S50" s="436"/>
      <c r="T50" s="436"/>
      <c r="U50" s="436"/>
      <c r="V50" s="436"/>
      <c r="W50" s="57"/>
      <c r="Y50" s="436"/>
    </row>
    <row r="51" spans="2:25" s="48" customFormat="1" hidden="1" outlineLevel="1" x14ac:dyDescent="0.35">
      <c r="B51" s="59"/>
      <c r="C51" s="584" t="s">
        <v>28</v>
      </c>
      <c r="D51" s="584"/>
      <c r="E51" s="584"/>
      <c r="F51" s="436">
        <f>F28-Financials!N31</f>
        <v>0</v>
      </c>
      <c r="G51" s="436">
        <f>G28-Financials!O31</f>
        <v>0</v>
      </c>
      <c r="H51" s="436">
        <f>H28-Financials!P31</f>
        <v>0</v>
      </c>
      <c r="I51" s="436">
        <f>I28-Financials!Q31</f>
        <v>0</v>
      </c>
      <c r="J51" s="436">
        <f>J28-Financials!R31</f>
        <v>0</v>
      </c>
      <c r="K51" s="436">
        <f>K28-Financials!S31</f>
        <v>0</v>
      </c>
      <c r="M51" s="56"/>
      <c r="N51" s="435" t="s">
        <v>135</v>
      </c>
      <c r="O51" s="435"/>
      <c r="P51" s="435"/>
      <c r="Q51" s="436">
        <f t="shared" ref="Q51:V51" ca="1" si="16">Q19-Q32</f>
        <v>0</v>
      </c>
      <c r="R51" s="436">
        <f t="shared" ca="1" si="16"/>
        <v>0</v>
      </c>
      <c r="S51" s="436">
        <f t="shared" ca="1" si="16"/>
        <v>0</v>
      </c>
      <c r="T51" s="436">
        <f t="shared" ca="1" si="16"/>
        <v>0</v>
      </c>
      <c r="U51" s="436">
        <f t="shared" ca="1" si="16"/>
        <v>0</v>
      </c>
      <c r="V51" s="436">
        <f t="shared" ca="1" si="16"/>
        <v>0</v>
      </c>
      <c r="W51" s="57"/>
      <c r="Y51" s="436">
        <f ca="1">SUM(F51:W51)</f>
        <v>0</v>
      </c>
    </row>
    <row r="52" spans="2:25" s="48" customFormat="1" hidden="1" outlineLevel="1" x14ac:dyDescent="0.35">
      <c r="B52" s="59"/>
      <c r="C52" s="584"/>
      <c r="D52" s="584"/>
      <c r="E52" s="584"/>
      <c r="F52" s="585"/>
      <c r="H52" s="585"/>
      <c r="I52" s="585"/>
      <c r="J52" s="585"/>
      <c r="K52" s="63"/>
      <c r="M52" s="56"/>
      <c r="N52" s="455" t="s">
        <v>136</v>
      </c>
      <c r="O52" s="455"/>
      <c r="P52" s="455"/>
      <c r="Q52" s="455"/>
      <c r="R52" s="436">
        <f ca="1">SUM(G42:G44)-G45</f>
        <v>0</v>
      </c>
      <c r="S52" s="436">
        <f ca="1">SUM(H42:H44)-H45</f>
        <v>0</v>
      </c>
      <c r="T52" s="436">
        <f ca="1">SUM(I42:I44)-I45</f>
        <v>0</v>
      </c>
      <c r="U52" s="436">
        <f ca="1">SUM(J42:J44)-J45</f>
        <v>0</v>
      </c>
      <c r="V52" s="436">
        <f ca="1">SUM(K42:K44)-K45</f>
        <v>0</v>
      </c>
      <c r="W52" s="57"/>
      <c r="Y52" s="436">
        <f ca="1">SUM(F52:W52)</f>
        <v>0</v>
      </c>
    </row>
    <row r="53" spans="2:25" s="48" customFormat="1" hidden="1" outlineLevel="1" x14ac:dyDescent="0.35">
      <c r="B53" s="59"/>
      <c r="C53" s="584"/>
      <c r="D53" s="584"/>
      <c r="E53" s="584"/>
      <c r="F53" s="585"/>
      <c r="G53" s="585"/>
      <c r="H53" s="585"/>
      <c r="I53" s="585"/>
      <c r="J53" s="585"/>
      <c r="K53" s="63"/>
      <c r="M53" s="56"/>
      <c r="N53" s="455" t="s">
        <v>137</v>
      </c>
      <c r="O53" s="455"/>
      <c r="Q53" s="455"/>
      <c r="R53" s="436">
        <f ca="1">Q10+G45-R10</f>
        <v>0</v>
      </c>
      <c r="S53" s="436">
        <f ca="1">R10+H45-S10</f>
        <v>0</v>
      </c>
      <c r="T53" s="436">
        <f ca="1">S10+I45-T10</f>
        <v>0</v>
      </c>
      <c r="U53" s="436">
        <f ca="1">T10+J45-U10</f>
        <v>0</v>
      </c>
      <c r="V53" s="436">
        <f ca="1">U10+K45-V10</f>
        <v>0</v>
      </c>
      <c r="W53" s="57"/>
      <c r="Y53" s="436">
        <f ca="1">SUM(F53:W53)</f>
        <v>0</v>
      </c>
    </row>
    <row r="54" spans="2:25" s="48" customFormat="1" collapsed="1" x14ac:dyDescent="0.35">
      <c r="B54" s="59"/>
      <c r="C54" s="584"/>
      <c r="D54" s="584"/>
      <c r="E54" s="584"/>
      <c r="F54" s="585"/>
      <c r="G54" s="585"/>
      <c r="H54" s="585"/>
      <c r="I54" s="585"/>
      <c r="J54" s="585"/>
      <c r="K54" s="63"/>
      <c r="M54" s="56"/>
      <c r="N54" s="455"/>
      <c r="O54" s="455"/>
      <c r="Q54" s="455"/>
      <c r="R54" s="436"/>
      <c r="S54" s="436"/>
      <c r="T54" s="436"/>
      <c r="U54" s="436"/>
      <c r="V54" s="436"/>
      <c r="W54" s="57"/>
      <c r="Y54" s="436"/>
    </row>
    <row r="55" spans="2:25" s="48" customFormat="1" ht="15" customHeight="1" x14ac:dyDescent="0.35">
      <c r="B55" s="23"/>
      <c r="C55" s="24" t="s">
        <v>82</v>
      </c>
      <c r="D55" s="25"/>
      <c r="E55" s="25"/>
      <c r="F55" s="25"/>
      <c r="G55" s="25"/>
      <c r="H55" s="25"/>
      <c r="I55" s="25"/>
      <c r="J55" s="25"/>
      <c r="K55" s="25"/>
      <c r="L55" s="25"/>
      <c r="M55" s="26"/>
      <c r="N55" s="27" t="s">
        <v>226</v>
      </c>
      <c r="O55" s="27"/>
      <c r="P55" s="27"/>
      <c r="Q55" s="28"/>
      <c r="R55" s="28"/>
      <c r="S55" s="28"/>
      <c r="T55" s="28"/>
      <c r="U55" s="28"/>
      <c r="V55" s="28"/>
      <c r="W55" s="29"/>
      <c r="Y55" s="436"/>
    </row>
    <row r="56" spans="2:25" s="48" customFormat="1" ht="15" customHeight="1" x14ac:dyDescent="0.35">
      <c r="B56" s="30"/>
      <c r="C56" s="39" t="str">
        <f>Assumptions!$G$14</f>
        <v>USD</v>
      </c>
      <c r="D56" s="19"/>
      <c r="E56" s="19"/>
      <c r="F56" s="19"/>
      <c r="G56" s="19"/>
      <c r="H56" s="19"/>
      <c r="I56" s="19"/>
      <c r="J56" s="19"/>
      <c r="K56" s="35" t="s">
        <v>17</v>
      </c>
      <c r="L56" s="19"/>
      <c r="M56" s="30"/>
      <c r="N56" s="39" t="str">
        <f>Assumptions!$G$14</f>
        <v>USD</v>
      </c>
      <c r="O56" s="39"/>
      <c r="P56" s="19"/>
      <c r="Q56" s="19"/>
      <c r="R56" s="19"/>
      <c r="S56" s="19"/>
      <c r="T56" s="19"/>
      <c r="U56" s="19"/>
      <c r="V56" s="45"/>
      <c r="W56" s="31"/>
      <c r="Y56" s="436"/>
    </row>
    <row r="57" spans="2:25" s="48" customFormat="1" ht="15" customHeight="1" x14ac:dyDescent="0.35">
      <c r="B57" s="59"/>
      <c r="C57" s="584"/>
      <c r="D57" s="584"/>
      <c r="E57" s="584"/>
      <c r="F57" s="585"/>
      <c r="G57" s="585"/>
      <c r="H57" s="585"/>
      <c r="I57" s="585"/>
      <c r="J57" s="585"/>
      <c r="K57" s="63"/>
      <c r="M57" s="56"/>
      <c r="N57" s="455"/>
      <c r="O57" s="455"/>
      <c r="Q57" s="455"/>
      <c r="R57" s="436"/>
      <c r="S57" s="436"/>
      <c r="T57" s="436"/>
      <c r="U57" s="436"/>
      <c r="V57" s="436"/>
      <c r="W57" s="57"/>
      <c r="Y57" s="436"/>
    </row>
    <row r="58" spans="2:25" s="48" customFormat="1" ht="15" customHeight="1" x14ac:dyDescent="0.35">
      <c r="B58" s="59"/>
      <c r="C58" s="584"/>
      <c r="D58" s="584"/>
      <c r="E58" s="584"/>
      <c r="F58" s="585"/>
      <c r="G58" s="585"/>
      <c r="H58" s="585"/>
      <c r="I58" s="585"/>
      <c r="J58" s="585"/>
      <c r="K58" s="63"/>
      <c r="M58" s="56"/>
      <c r="N58" s="455"/>
      <c r="O58" s="455"/>
      <c r="Q58" s="455"/>
      <c r="R58" s="436"/>
      <c r="S58" s="436"/>
      <c r="T58" s="436"/>
      <c r="U58" s="436"/>
      <c r="V58" s="436"/>
      <c r="W58" s="57"/>
      <c r="Y58" s="436"/>
    </row>
    <row r="59" spans="2:25" s="48" customFormat="1" ht="15" customHeight="1" x14ac:dyDescent="0.35">
      <c r="B59" s="59"/>
      <c r="C59" s="584"/>
      <c r="D59" s="584"/>
      <c r="E59" s="584"/>
      <c r="F59" s="585"/>
      <c r="G59" s="585"/>
      <c r="H59" s="585"/>
      <c r="I59" s="585"/>
      <c r="J59" s="585"/>
      <c r="K59" s="63"/>
      <c r="M59" s="56"/>
      <c r="N59" s="455"/>
      <c r="O59" s="455"/>
      <c r="Q59" s="455"/>
      <c r="R59" s="436"/>
      <c r="S59" s="436"/>
      <c r="T59" s="436"/>
      <c r="U59" s="436"/>
      <c r="V59" s="436"/>
      <c r="W59" s="57"/>
      <c r="Y59" s="436"/>
    </row>
    <row r="60" spans="2:25" s="48" customFormat="1" ht="15" customHeight="1" x14ac:dyDescent="0.35">
      <c r="B60" s="59"/>
      <c r="C60" s="584"/>
      <c r="D60" s="584"/>
      <c r="E60" s="584"/>
      <c r="F60" s="585"/>
      <c r="G60" s="585"/>
      <c r="H60" s="585"/>
      <c r="I60" s="585"/>
      <c r="J60" s="585"/>
      <c r="K60" s="63"/>
      <c r="M60" s="56"/>
      <c r="N60" s="455"/>
      <c r="O60" s="455"/>
      <c r="Q60" s="455"/>
      <c r="R60" s="436"/>
      <c r="S60" s="436"/>
      <c r="T60" s="436"/>
      <c r="U60" s="436"/>
      <c r="V60" s="436"/>
      <c r="W60" s="57"/>
      <c r="Y60" s="436"/>
    </row>
    <row r="61" spans="2:25" s="48" customFormat="1" ht="15" customHeight="1" x14ac:dyDescent="0.35">
      <c r="B61" s="59"/>
      <c r="C61" s="584"/>
      <c r="D61" s="584"/>
      <c r="E61" s="584"/>
      <c r="F61" s="585"/>
      <c r="G61" s="585"/>
      <c r="H61" s="585"/>
      <c r="I61" s="585"/>
      <c r="J61" s="585"/>
      <c r="K61" s="63"/>
      <c r="M61" s="56"/>
      <c r="N61" s="455"/>
      <c r="O61" s="455"/>
      <c r="Q61" s="455"/>
      <c r="R61" s="436"/>
      <c r="S61" s="436"/>
      <c r="T61" s="436"/>
      <c r="U61" s="436"/>
      <c r="V61" s="436"/>
      <c r="W61" s="57"/>
      <c r="Y61" s="436"/>
    </row>
    <row r="62" spans="2:25" s="48" customFormat="1" ht="15" customHeight="1" x14ac:dyDescent="0.35">
      <c r="B62" s="59"/>
      <c r="C62" s="584"/>
      <c r="D62" s="584"/>
      <c r="E62" s="584"/>
      <c r="F62" s="585"/>
      <c r="G62" s="585"/>
      <c r="H62" s="585"/>
      <c r="I62" s="585"/>
      <c r="J62" s="585"/>
      <c r="K62" s="63"/>
      <c r="M62" s="56"/>
      <c r="N62" s="455"/>
      <c r="O62" s="455"/>
      <c r="Q62" s="455"/>
      <c r="R62" s="436"/>
      <c r="S62" s="436"/>
      <c r="T62" s="436"/>
      <c r="U62" s="436"/>
      <c r="V62" s="436"/>
      <c r="W62" s="57"/>
      <c r="Y62" s="436"/>
    </row>
    <row r="63" spans="2:25" s="48" customFormat="1" ht="15" customHeight="1" x14ac:dyDescent="0.35">
      <c r="B63" s="59"/>
      <c r="C63" s="584"/>
      <c r="D63" s="584"/>
      <c r="E63" s="584"/>
      <c r="F63" s="585"/>
      <c r="G63" s="585"/>
      <c r="H63" s="585"/>
      <c r="I63" s="585"/>
      <c r="J63" s="585"/>
      <c r="K63" s="63"/>
      <c r="M63" s="56"/>
      <c r="N63" s="455"/>
      <c r="O63" s="455"/>
      <c r="Q63" s="455"/>
      <c r="R63" s="436"/>
      <c r="S63" s="436"/>
      <c r="T63" s="436"/>
      <c r="U63" s="436"/>
      <c r="V63" s="436"/>
      <c r="W63" s="57"/>
      <c r="Y63" s="436"/>
    </row>
    <row r="64" spans="2:25" s="48" customFormat="1" ht="15" customHeight="1" x14ac:dyDescent="0.35">
      <c r="B64" s="59"/>
      <c r="C64" s="584"/>
      <c r="D64" s="584"/>
      <c r="E64" s="584"/>
      <c r="F64" s="585"/>
      <c r="G64" s="585"/>
      <c r="H64" s="585"/>
      <c r="I64" s="585"/>
      <c r="J64" s="585"/>
      <c r="K64" s="63"/>
      <c r="M64" s="56"/>
      <c r="N64" s="455"/>
      <c r="O64" s="455"/>
      <c r="Q64" s="455"/>
      <c r="R64" s="436"/>
      <c r="S64" s="436"/>
      <c r="T64" s="436"/>
      <c r="U64" s="436"/>
      <c r="V64" s="436"/>
      <c r="W64" s="57"/>
      <c r="Y64" s="436"/>
    </row>
    <row r="65" spans="1:25" s="48" customFormat="1" ht="15" customHeight="1" x14ac:dyDescent="0.35">
      <c r="B65" s="59"/>
      <c r="C65" s="584"/>
      <c r="D65" s="584"/>
      <c r="E65" s="584"/>
      <c r="F65" s="585"/>
      <c r="G65" s="585"/>
      <c r="H65" s="585"/>
      <c r="I65" s="585"/>
      <c r="J65" s="585"/>
      <c r="K65" s="63"/>
      <c r="M65" s="56"/>
      <c r="N65" s="455"/>
      <c r="O65" s="455"/>
      <c r="Q65" s="455"/>
      <c r="R65" s="436"/>
      <c r="S65" s="436"/>
      <c r="T65" s="436"/>
      <c r="U65" s="436"/>
      <c r="V65" s="436"/>
      <c r="W65" s="57"/>
      <c r="Y65" s="436"/>
    </row>
    <row r="66" spans="1:25" s="48" customFormat="1" ht="15" customHeight="1" x14ac:dyDescent="0.35">
      <c r="B66" s="59"/>
      <c r="C66" s="584"/>
      <c r="D66" s="584"/>
      <c r="E66" s="584"/>
      <c r="F66" s="585"/>
      <c r="G66" s="585"/>
      <c r="H66" s="585"/>
      <c r="I66" s="585"/>
      <c r="J66" s="585"/>
      <c r="K66" s="63"/>
      <c r="M66" s="56"/>
      <c r="N66" s="455"/>
      <c r="O66" s="455"/>
      <c r="Q66" s="455"/>
      <c r="R66" s="436"/>
      <c r="S66" s="436"/>
      <c r="T66" s="436"/>
      <c r="U66" s="436"/>
      <c r="V66" s="436"/>
      <c r="W66" s="57"/>
      <c r="Y66" s="436"/>
    </row>
    <row r="67" spans="1:25" s="48" customFormat="1" ht="15" customHeight="1" x14ac:dyDescent="0.35">
      <c r="B67" s="59"/>
      <c r="C67" s="584"/>
      <c r="D67" s="584"/>
      <c r="E67" s="584"/>
      <c r="F67" s="585"/>
      <c r="G67" s="585"/>
      <c r="H67" s="585"/>
      <c r="I67" s="585"/>
      <c r="J67" s="585"/>
      <c r="K67" s="63"/>
      <c r="M67" s="56"/>
      <c r="N67" s="455"/>
      <c r="O67" s="455"/>
      <c r="Q67" s="455"/>
      <c r="R67" s="436"/>
      <c r="S67" s="436"/>
      <c r="T67" s="436"/>
      <c r="U67" s="436"/>
      <c r="V67" s="436"/>
      <c r="W67" s="57"/>
      <c r="Y67" s="436"/>
    </row>
    <row r="68" spans="1:25" s="48" customFormat="1" ht="15" customHeight="1" x14ac:dyDescent="0.35">
      <c r="B68" s="59"/>
      <c r="C68" s="584"/>
      <c r="D68" s="584"/>
      <c r="E68" s="584"/>
      <c r="F68" s="585"/>
      <c r="G68" s="585"/>
      <c r="H68" s="585"/>
      <c r="I68" s="585"/>
      <c r="J68" s="585"/>
      <c r="K68" s="63"/>
      <c r="M68" s="56"/>
      <c r="N68" s="455"/>
      <c r="O68" s="455"/>
      <c r="Q68" s="455"/>
      <c r="R68" s="436"/>
      <c r="S68" s="436"/>
      <c r="T68" s="436"/>
      <c r="U68" s="436"/>
      <c r="V68" s="436"/>
      <c r="W68" s="57"/>
      <c r="Y68" s="436"/>
    </row>
    <row r="69" spans="1:25" s="48" customFormat="1" ht="15" customHeight="1" x14ac:dyDescent="0.35">
      <c r="B69" s="59"/>
      <c r="C69" s="584"/>
      <c r="D69" s="584"/>
      <c r="E69" s="584"/>
      <c r="F69" s="585"/>
      <c r="G69" s="585"/>
      <c r="H69" s="585"/>
      <c r="I69" s="585"/>
      <c r="J69" s="585"/>
      <c r="K69" s="63"/>
      <c r="M69" s="56"/>
      <c r="N69" s="455"/>
      <c r="O69" s="455"/>
      <c r="Q69" s="455"/>
      <c r="R69" s="436"/>
      <c r="S69" s="436"/>
      <c r="T69" s="436"/>
      <c r="U69" s="436"/>
      <c r="V69" s="436"/>
      <c r="W69" s="57"/>
      <c r="Y69" s="436"/>
    </row>
    <row r="70" spans="1:25" s="48" customFormat="1" ht="15" customHeight="1" x14ac:dyDescent="0.35">
      <c r="B70" s="59"/>
      <c r="C70" s="584"/>
      <c r="D70" s="584"/>
      <c r="E70" s="584"/>
      <c r="F70" s="585"/>
      <c r="G70" s="585"/>
      <c r="H70" s="585"/>
      <c r="I70" s="585"/>
      <c r="J70" s="585"/>
      <c r="K70" s="63"/>
      <c r="M70" s="56"/>
      <c r="N70" s="455"/>
      <c r="O70" s="455"/>
      <c r="Q70" s="455"/>
      <c r="R70" s="436"/>
      <c r="S70" s="436"/>
      <c r="T70" s="436"/>
      <c r="U70" s="436"/>
      <c r="V70" s="436"/>
      <c r="W70" s="57"/>
      <c r="Y70" s="436"/>
    </row>
    <row r="71" spans="1:25" s="48" customFormat="1" ht="15" customHeight="1" x14ac:dyDescent="0.35">
      <c r="B71" s="59"/>
      <c r="C71" s="584"/>
      <c r="D71" s="584"/>
      <c r="E71" s="584"/>
      <c r="F71" s="585"/>
      <c r="G71" s="585"/>
      <c r="H71" s="585"/>
      <c r="I71" s="585"/>
      <c r="J71" s="585"/>
      <c r="K71" s="63"/>
      <c r="M71" s="56"/>
      <c r="N71" s="455"/>
      <c r="O71" s="455"/>
      <c r="Q71" s="455"/>
      <c r="R71" s="436"/>
      <c r="S71" s="436"/>
      <c r="T71" s="436"/>
      <c r="U71" s="436"/>
      <c r="V71" s="436"/>
      <c r="W71" s="57"/>
      <c r="Y71" s="436"/>
    </row>
    <row r="72" spans="1:25" s="48" customFormat="1" ht="15" customHeight="1" x14ac:dyDescent="0.35">
      <c r="B72" s="59"/>
      <c r="C72" s="584"/>
      <c r="D72" s="664" t="str">
        <f>Financials!C199</f>
        <v>Revenue</v>
      </c>
      <c r="E72" s="584"/>
      <c r="G72" s="664" t="str">
        <f>Financials!C202</f>
        <v>Net Income/Loss</v>
      </c>
      <c r="H72" s="585"/>
      <c r="J72" s="664" t="str">
        <f>Financials!C203</f>
        <v>ROIC</v>
      </c>
      <c r="M72" s="56"/>
      <c r="N72" s="455"/>
      <c r="O72" s="455"/>
      <c r="Q72" s="455"/>
      <c r="R72" s="436"/>
      <c r="S72" s="436"/>
      <c r="T72" s="436"/>
      <c r="U72" s="436"/>
      <c r="V72" s="436"/>
      <c r="W72" s="57"/>
      <c r="Y72" s="436"/>
    </row>
    <row r="73" spans="1:25" s="48" customFormat="1" ht="15" customHeight="1" x14ac:dyDescent="0.35">
      <c r="B73" s="59"/>
      <c r="C73" s="584"/>
      <c r="D73" s="664" t="str">
        <f>Financials!C200</f>
        <v>EBITDA</v>
      </c>
      <c r="E73" s="584"/>
      <c r="G73" s="664" t="str">
        <f>Financials!C201</f>
        <v>EBITDA Margin %</v>
      </c>
      <c r="H73" s="585"/>
      <c r="I73" s="585"/>
      <c r="J73" s="585"/>
      <c r="K73" s="63"/>
      <c r="M73" s="56"/>
      <c r="N73" s="455"/>
      <c r="O73" s="48" t="str">
        <f>Financials!C206</f>
        <v>Net Working Capital</v>
      </c>
      <c r="P73" s="455"/>
      <c r="Q73" s="455"/>
      <c r="R73" s="48" t="str">
        <f>Financials!C207</f>
        <v>Fixed Assets</v>
      </c>
      <c r="T73" s="436"/>
      <c r="U73" s="48" t="str">
        <f>Financials!C208</f>
        <v>Cash</v>
      </c>
      <c r="V73" s="436"/>
      <c r="W73" s="57"/>
      <c r="Y73" s="436"/>
    </row>
    <row r="74" spans="1:25" s="48" customFormat="1" ht="15" customHeight="1" x14ac:dyDescent="0.35">
      <c r="B74" s="60"/>
      <c r="C74" s="61"/>
      <c r="D74" s="61"/>
      <c r="E74" s="61"/>
      <c r="F74" s="61"/>
      <c r="G74" s="61"/>
      <c r="H74" s="61"/>
      <c r="I74" s="61"/>
      <c r="J74" s="61"/>
      <c r="K74" s="61"/>
      <c r="L74" s="62"/>
      <c r="M74" s="60"/>
      <c r="N74" s="61"/>
      <c r="O74" s="61"/>
      <c r="P74" s="61"/>
      <c r="Q74" s="61"/>
      <c r="R74" s="61"/>
      <c r="S74" s="61"/>
      <c r="T74" s="61"/>
      <c r="U74" s="61"/>
      <c r="V74" s="61"/>
      <c r="W74" s="62"/>
    </row>
    <row r="75" spans="1:25" s="48" customFormat="1" ht="15" customHeight="1" x14ac:dyDescent="0.35"/>
    <row r="76" spans="1:25" s="48" customFormat="1" ht="15" customHeight="1" x14ac:dyDescent="0.35"/>
    <row r="77" spans="1:25" ht="25.8" x14ac:dyDescent="0.35">
      <c r="A77" s="19"/>
      <c r="C77" s="20" t="s">
        <v>245</v>
      </c>
      <c r="D77" s="18"/>
      <c r="G77" s="19"/>
      <c r="X77" s="14"/>
    </row>
    <row r="78" spans="1:25" ht="15" customHeight="1" x14ac:dyDescent="0.35">
      <c r="C78" s="138" t="str">
        <f>"All amounts in "&amp;Assumptions!$G$14</f>
        <v>All amounts in USD</v>
      </c>
      <c r="D78" s="21"/>
      <c r="E78" s="13"/>
      <c r="N78" s="11"/>
      <c r="O78" s="11"/>
      <c r="P78" s="11"/>
      <c r="Q78" s="11"/>
      <c r="R78" s="11"/>
      <c r="S78" s="11"/>
      <c r="T78" s="11"/>
      <c r="U78" s="11"/>
      <c r="V78" s="11"/>
      <c r="X78" s="11"/>
    </row>
    <row r="79" spans="1:25" ht="15" customHeight="1" x14ac:dyDescent="0.35">
      <c r="A79" s="22">
        <f>A7+1</f>
        <v>2</v>
      </c>
      <c r="B79" s="23"/>
      <c r="C79" s="24" t="s">
        <v>247</v>
      </c>
      <c r="D79" s="25"/>
      <c r="E79" s="25"/>
      <c r="F79" s="25"/>
      <c r="G79" s="25"/>
      <c r="H79" s="25"/>
      <c r="I79" s="25"/>
      <c r="J79" s="25"/>
      <c r="K79" s="25"/>
      <c r="L79" s="25"/>
      <c r="M79" s="26"/>
      <c r="N79" s="27" t="s">
        <v>248</v>
      </c>
      <c r="O79" s="27"/>
      <c r="P79" s="27"/>
      <c r="Q79" s="27"/>
      <c r="R79" s="27"/>
      <c r="S79" s="27"/>
      <c r="T79" s="27"/>
      <c r="U79" s="27"/>
      <c r="V79" s="27"/>
      <c r="W79" s="29"/>
    </row>
    <row r="80" spans="1:25" s="19" customFormat="1" x14ac:dyDescent="0.35">
      <c r="B80" s="30"/>
      <c r="C80" s="39" t="str">
        <f>Assumptions!$G$14</f>
        <v>USD</v>
      </c>
      <c r="K80" s="35"/>
      <c r="M80" s="30"/>
      <c r="S80" s="666" t="s">
        <v>254</v>
      </c>
      <c r="W80" s="31"/>
      <c r="Y80" s="32"/>
    </row>
    <row r="81" spans="2:23" x14ac:dyDescent="0.35">
      <c r="B81" s="33"/>
      <c r="M81" s="33"/>
      <c r="N81" s="66" t="s">
        <v>251</v>
      </c>
      <c r="P81" s="873" t="s">
        <v>156</v>
      </c>
      <c r="Q81" s="874"/>
      <c r="R81" s="875"/>
      <c r="S81" s="665" t="str">
        <f>Assumptions!$G$14</f>
        <v>USD</v>
      </c>
      <c r="W81" s="34"/>
    </row>
    <row r="82" spans="2:23" x14ac:dyDescent="0.35">
      <c r="B82" s="33"/>
      <c r="M82" s="33"/>
      <c r="N82" s="68" t="str">
        <f>Assumptions!C60</f>
        <v>Discount Rate (WACC)</v>
      </c>
      <c r="O82" s="68"/>
      <c r="P82" s="68" t="str">
        <f>Assumptions!E60</f>
        <v>%</v>
      </c>
      <c r="Q82" s="586">
        <f>Assumptions!G60</f>
        <v>9.9124999999999991E-2</v>
      </c>
      <c r="W82" s="34"/>
    </row>
    <row r="83" spans="2:23" x14ac:dyDescent="0.35">
      <c r="B83" s="33"/>
      <c r="M83" s="33"/>
      <c r="N83" s="66"/>
      <c r="O83" s="41"/>
      <c r="P83" s="39"/>
      <c r="Q83" s="46"/>
      <c r="W83" s="34"/>
    </row>
    <row r="84" spans="2:23" x14ac:dyDescent="0.35">
      <c r="B84" s="33"/>
      <c r="M84" s="33"/>
      <c r="N84" s="109" t="str">
        <f>"DCF Valuation Result @"&amp;FIXED(Assumptions!$G$60*100,1)&amp;"% "&amp;Assumptions!$C$60</f>
        <v>DCF Valuation Result @9.9% Discount Rate (WACC)</v>
      </c>
      <c r="O84" s="79"/>
      <c r="P84" s="88"/>
      <c r="Q84" s="79"/>
      <c r="W84" s="34"/>
    </row>
    <row r="85" spans="2:23" x14ac:dyDescent="0.35">
      <c r="B85" s="33"/>
      <c r="M85" s="33"/>
      <c r="N85" s="36"/>
      <c r="O85" s="36"/>
      <c r="P85" s="36"/>
      <c r="Q85" s="852">
        <f ca="1">DCF!M45</f>
        <v>44925</v>
      </c>
      <c r="R85" s="36"/>
      <c r="W85" s="34"/>
    </row>
    <row r="86" spans="2:23" x14ac:dyDescent="0.35">
      <c r="B86" s="33"/>
      <c r="M86" s="33"/>
      <c r="N86" s="19" t="str">
        <f>DCF!C46</f>
        <v>PV of Terminal Value</v>
      </c>
      <c r="P86" s="82" t="str">
        <f>Assumptions!$G$14</f>
        <v>USD</v>
      </c>
      <c r="Q86" s="67">
        <f ca="1">DCF!M46</f>
        <v>2862260.6540770489</v>
      </c>
      <c r="R86" s="75">
        <f ca="1">DCF!N46</f>
        <v>0.44217259724731123</v>
      </c>
      <c r="W86" s="34"/>
    </row>
    <row r="87" spans="2:23" x14ac:dyDescent="0.35">
      <c r="B87" s="33"/>
      <c r="M87" s="33"/>
      <c r="N87" s="19" t="str">
        <f>DCF!C47</f>
        <v>PV of Forecast Period</v>
      </c>
      <c r="P87" s="82" t="str">
        <f>Assumptions!$G$14</f>
        <v>USD</v>
      </c>
      <c r="Q87" s="67">
        <f ca="1">DCF!M47</f>
        <v>3610914.4632768654</v>
      </c>
      <c r="R87" s="95">
        <f ca="1">DCF!N47</f>
        <v>0.55782740275268883</v>
      </c>
      <c r="W87" s="34"/>
    </row>
    <row r="88" spans="2:23" x14ac:dyDescent="0.35">
      <c r="B88" s="33"/>
      <c r="M88" s="33"/>
      <c r="N88" s="83" t="str">
        <f>DCF!C48</f>
        <v>Enterprise Value</v>
      </c>
      <c r="O88" s="84"/>
      <c r="P88" s="85" t="str">
        <f>Assumptions!$G$14</f>
        <v>USD</v>
      </c>
      <c r="Q88" s="8">
        <f ca="1">DCF!M48</f>
        <v>6473175.1173539143</v>
      </c>
      <c r="R88" s="76">
        <f ca="1">SUM(R86:R87)</f>
        <v>1</v>
      </c>
      <c r="W88" s="34"/>
    </row>
    <row r="89" spans="2:23" x14ac:dyDescent="0.35">
      <c r="B89" s="33"/>
      <c r="M89" s="33"/>
      <c r="N89" s="19" t="str">
        <f>DCF!C49</f>
        <v>Financial Debt</v>
      </c>
      <c r="P89" s="82" t="str">
        <f>Assumptions!$G$14</f>
        <v>USD</v>
      </c>
      <c r="Q89" s="67">
        <f>DCF!M49</f>
        <v>-2000000</v>
      </c>
      <c r="R89" s="75">
        <f ca="1">IFERROR(Q89/Q$88,0)</f>
        <v>-0.30896738675247737</v>
      </c>
      <c r="W89" s="34"/>
    </row>
    <row r="90" spans="2:23" x14ac:dyDescent="0.35">
      <c r="B90" s="33"/>
      <c r="M90" s="33"/>
      <c r="N90" s="19" t="str">
        <f>DCF!C50</f>
        <v>Cash</v>
      </c>
      <c r="P90" s="82" t="str">
        <f>Assumptions!$G$14</f>
        <v>USD</v>
      </c>
      <c r="Q90" s="67">
        <f>DCF!M50</f>
        <v>600000</v>
      </c>
      <c r="R90" s="75">
        <f ca="1">IFERROR(Q90/Q$88,0)</f>
        <v>9.2690216025743219E-2</v>
      </c>
      <c r="W90" s="34"/>
    </row>
    <row r="91" spans="2:23" x14ac:dyDescent="0.35">
      <c r="B91" s="33"/>
      <c r="M91" s="33"/>
      <c r="N91" s="83" t="str">
        <f>DCF!C51</f>
        <v>Equity Value</v>
      </c>
      <c r="O91" s="84"/>
      <c r="P91" s="85" t="str">
        <f>Assumptions!$G$14</f>
        <v>USD</v>
      </c>
      <c r="Q91" s="8">
        <f ca="1">DCF!M51</f>
        <v>5073175.1173539143</v>
      </c>
      <c r="R91" s="112">
        <f ca="1">IFERROR(Q91/Q$88,0)</f>
        <v>0.78372282927326586</v>
      </c>
      <c r="W91" s="34"/>
    </row>
    <row r="92" spans="2:23" x14ac:dyDescent="0.35">
      <c r="B92" s="33"/>
      <c r="M92" s="33"/>
      <c r="N92" s="10"/>
      <c r="W92" s="34"/>
    </row>
    <row r="93" spans="2:23" x14ac:dyDescent="0.35">
      <c r="B93" s="33"/>
      <c r="M93" s="33"/>
      <c r="N93" s="10"/>
      <c r="W93" s="34"/>
    </row>
    <row r="94" spans="2:23" x14ac:dyDescent="0.35">
      <c r="B94" s="33"/>
      <c r="M94" s="33"/>
      <c r="N94" s="65" t="str">
        <f>DCF!C53</f>
        <v>Implied Multiples</v>
      </c>
      <c r="O94" s="86"/>
      <c r="P94" s="36"/>
      <c r="Q94" s="110">
        <f>DCF!N53</f>
        <v>1</v>
      </c>
      <c r="R94" s="111" t="s">
        <v>249</v>
      </c>
      <c r="W94" s="34"/>
    </row>
    <row r="95" spans="2:23" x14ac:dyDescent="0.35">
      <c r="B95" s="33"/>
      <c r="M95" s="33"/>
      <c r="N95" s="9" t="str">
        <f>DCF!C54</f>
        <v>EV/Revenue Exit Multiple</v>
      </c>
      <c r="P95" s="42" t="str">
        <f>DCF!H54</f>
        <v>x</v>
      </c>
      <c r="Q95" s="465">
        <f ca="1">DCF!N54</f>
        <v>1.1441303911649849</v>
      </c>
      <c r="R95" s="465">
        <f ca="1">DCF!R54</f>
        <v>0.62201788556774973</v>
      </c>
      <c r="W95" s="34"/>
    </row>
    <row r="96" spans="2:23" x14ac:dyDescent="0.35">
      <c r="B96" s="33"/>
      <c r="M96" s="33"/>
      <c r="N96" s="9" t="str">
        <f>DCF!C55</f>
        <v>EV/EBITDA Exit Multiple</v>
      </c>
      <c r="O96" s="19"/>
      <c r="P96" s="42" t="str">
        <f>DCF!H55</f>
        <v>x</v>
      </c>
      <c r="Q96" s="465">
        <f ca="1">DCF!N55</f>
        <v>5.8810440667359059</v>
      </c>
      <c r="R96" s="465">
        <f ca="1">DCF!R55</f>
        <v>3.545586711033641</v>
      </c>
      <c r="W96" s="34"/>
    </row>
    <row r="97" spans="1:26" x14ac:dyDescent="0.35">
      <c r="B97" s="33"/>
      <c r="M97" s="33"/>
      <c r="N97" s="9" t="str">
        <f>DCF!C56</f>
        <v>EV/EBIT Exit Multiple</v>
      </c>
      <c r="O97" s="19"/>
      <c r="P97" s="42" t="str">
        <f>DCF!H56</f>
        <v>x</v>
      </c>
      <c r="Q97" s="465">
        <f ca="1">DCF!N56</f>
        <v>8.0845497164436022</v>
      </c>
      <c r="R97" s="465">
        <f ca="1">DCF!R56</f>
        <v>4.9474988168501808</v>
      </c>
      <c r="W97" s="34"/>
    </row>
    <row r="98" spans="1:26" x14ac:dyDescent="0.35">
      <c r="B98" s="33"/>
      <c r="M98" s="33"/>
      <c r="N98" s="9" t="str">
        <f>DCF!C57</f>
        <v>P/E Exit Multiple</v>
      </c>
      <c r="O98" s="19"/>
      <c r="P98" s="42" t="str">
        <f>DCF!H57</f>
        <v>x</v>
      </c>
      <c r="Q98" s="465">
        <f ca="1">DCF!N57</f>
        <v>8.965963061909445</v>
      </c>
      <c r="R98" s="465">
        <f ca="1">DCF!R57</f>
        <v>9.8560457962147154</v>
      </c>
      <c r="W98" s="34"/>
      <c r="Z98" s="9" t="s">
        <v>106</v>
      </c>
    </row>
    <row r="99" spans="1:26" x14ac:dyDescent="0.35">
      <c r="B99" s="33"/>
      <c r="M99" s="33"/>
      <c r="N99" s="9" t="str">
        <f>DCF!C58</f>
        <v>P/B Exit Multiple</v>
      </c>
      <c r="P99" s="42" t="str">
        <f>DCF!H58</f>
        <v>x</v>
      </c>
      <c r="Q99" s="465">
        <f ca="1">DCF!N58</f>
        <v>5.6009955452432685</v>
      </c>
      <c r="R99" s="465">
        <f ca="1">DCF!R58</f>
        <v>2.3061645821339809</v>
      </c>
      <c r="W99" s="34"/>
    </row>
    <row r="100" spans="1:26" x14ac:dyDescent="0.35">
      <c r="B100" s="33"/>
      <c r="D100" s="10" t="str">
        <f>Financials!C211</f>
        <v>Free Cash Flow to Firm</v>
      </c>
      <c r="G100" s="10" t="str">
        <f>Financials!C212</f>
        <v>Terminal Value (TV)</v>
      </c>
      <c r="J100" s="10" t="str">
        <f>Financials!C214</f>
        <v>Discounted Cash Flows</v>
      </c>
      <c r="M100" s="33"/>
      <c r="P100" s="42"/>
      <c r="Q100" s="465"/>
      <c r="R100" s="465"/>
      <c r="W100" s="34"/>
    </row>
    <row r="101" spans="1:26" x14ac:dyDescent="0.35">
      <c r="B101" s="33"/>
      <c r="M101" s="33"/>
      <c r="P101" s="42"/>
      <c r="Q101" s="465"/>
      <c r="R101" s="465"/>
      <c r="W101" s="34"/>
    </row>
    <row r="102" spans="1:26" x14ac:dyDescent="0.35">
      <c r="B102" s="33"/>
      <c r="M102" s="33"/>
      <c r="P102" s="42"/>
      <c r="Q102" s="465"/>
      <c r="R102" s="465"/>
      <c r="W102" s="34"/>
    </row>
    <row r="103" spans="1:26" x14ac:dyDescent="0.35">
      <c r="A103" s="19"/>
      <c r="B103" s="37"/>
      <c r="C103" s="40" t="s">
        <v>150</v>
      </c>
      <c r="D103" s="40"/>
      <c r="E103" s="40"/>
      <c r="F103" s="40"/>
      <c r="G103" s="43"/>
      <c r="H103" s="43"/>
      <c r="I103" s="43"/>
      <c r="J103" s="43"/>
      <c r="K103" s="43"/>
      <c r="L103" s="40"/>
      <c r="M103" s="113"/>
      <c r="N103" s="24"/>
      <c r="O103" s="24"/>
      <c r="P103" s="25"/>
      <c r="Q103" s="25"/>
      <c r="R103" s="25"/>
      <c r="S103" s="25"/>
      <c r="T103" s="25"/>
      <c r="U103" s="25"/>
      <c r="V103" s="25"/>
      <c r="W103" s="94"/>
    </row>
    <row r="104" spans="1:26" s="19" customFormat="1" x14ac:dyDescent="0.35">
      <c r="B104" s="30"/>
      <c r="C104" s="39" t="str">
        <f>Assumptions!$G$14</f>
        <v>USD</v>
      </c>
      <c r="M104" s="77"/>
      <c r="N104" s="72"/>
      <c r="O104" s="72"/>
      <c r="P104" s="73"/>
      <c r="Q104" s="73"/>
      <c r="R104" s="73"/>
      <c r="T104" s="73"/>
      <c r="U104" s="73"/>
      <c r="V104" s="73"/>
      <c r="W104" s="87"/>
      <c r="Y104" s="32"/>
    </row>
    <row r="105" spans="1:26" x14ac:dyDescent="0.35">
      <c r="B105" s="33"/>
      <c r="D105" s="10"/>
      <c r="E105" s="10"/>
      <c r="F105" s="10"/>
      <c r="G105" s="10"/>
      <c r="H105" s="10"/>
      <c r="I105" s="10"/>
      <c r="J105" s="10"/>
      <c r="N105" s="68"/>
      <c r="O105" s="68"/>
      <c r="S105" s="41"/>
      <c r="W105" s="34"/>
    </row>
    <row r="106" spans="1:26" s="19" customFormat="1" x14ac:dyDescent="0.35">
      <c r="B106" s="30"/>
      <c r="C106" s="10"/>
      <c r="D106" s="10"/>
      <c r="E106" s="10"/>
      <c r="F106" s="10"/>
      <c r="G106" s="10"/>
      <c r="H106" s="10"/>
      <c r="I106" s="10"/>
      <c r="J106" s="10"/>
      <c r="M106" s="9"/>
      <c r="N106" s="10"/>
      <c r="O106" s="10"/>
      <c r="P106" s="10"/>
      <c r="Q106" s="587"/>
      <c r="S106" s="10"/>
      <c r="V106" s="80"/>
      <c r="W106" s="31"/>
      <c r="Y106" s="32"/>
    </row>
    <row r="107" spans="1:26" x14ac:dyDescent="0.35">
      <c r="B107" s="33"/>
      <c r="D107" s="10"/>
      <c r="E107" s="10"/>
      <c r="F107" s="10"/>
      <c r="G107" s="10"/>
      <c r="H107" s="10"/>
      <c r="I107" s="10"/>
      <c r="J107" s="10"/>
      <c r="N107" s="10"/>
      <c r="O107" s="10"/>
      <c r="P107" s="10"/>
      <c r="Q107" s="588"/>
      <c r="S107" s="10"/>
      <c r="U107" s="19"/>
      <c r="V107" s="80"/>
      <c r="W107" s="34"/>
    </row>
    <row r="108" spans="1:26" x14ac:dyDescent="0.35">
      <c r="B108" s="33"/>
      <c r="D108" s="10"/>
      <c r="E108" s="10"/>
      <c r="F108" s="10"/>
      <c r="G108" s="10"/>
      <c r="H108" s="10"/>
      <c r="I108" s="10"/>
      <c r="J108" s="10"/>
      <c r="S108" s="10"/>
      <c r="U108" s="89"/>
      <c r="V108" s="81"/>
      <c r="W108" s="34"/>
    </row>
    <row r="109" spans="1:26" x14ac:dyDescent="0.35">
      <c r="B109" s="33"/>
      <c r="D109" s="10"/>
      <c r="E109" s="10"/>
      <c r="F109" s="10"/>
      <c r="G109" s="10"/>
      <c r="H109" s="10"/>
      <c r="I109" s="10"/>
      <c r="J109" s="10"/>
      <c r="S109" s="10"/>
      <c r="U109" s="89"/>
      <c r="V109" s="81"/>
      <c r="W109" s="34"/>
    </row>
    <row r="110" spans="1:26" x14ac:dyDescent="0.35">
      <c r="B110" s="33"/>
      <c r="D110" s="10"/>
      <c r="E110" s="10"/>
      <c r="F110" s="10"/>
      <c r="G110" s="10"/>
      <c r="H110" s="10"/>
      <c r="I110" s="10"/>
      <c r="J110" s="10"/>
      <c r="S110" s="10"/>
      <c r="U110" s="89"/>
      <c r="V110" s="81"/>
      <c r="W110" s="34"/>
    </row>
    <row r="111" spans="1:26" x14ac:dyDescent="0.35">
      <c r="B111" s="33"/>
      <c r="D111" s="10"/>
      <c r="E111" s="10"/>
      <c r="F111" s="10"/>
      <c r="G111" s="10"/>
      <c r="H111" s="10"/>
      <c r="I111" s="10"/>
      <c r="J111" s="10"/>
      <c r="S111" s="10"/>
      <c r="U111" s="89"/>
      <c r="V111" s="81"/>
      <c r="W111" s="34"/>
    </row>
    <row r="112" spans="1:26" x14ac:dyDescent="0.35">
      <c r="B112" s="33"/>
      <c r="D112" s="10"/>
      <c r="E112" s="10"/>
      <c r="F112" s="10"/>
      <c r="G112" s="10"/>
      <c r="H112" s="10"/>
      <c r="I112" s="10"/>
      <c r="J112" s="10"/>
      <c r="S112" s="10"/>
      <c r="U112" s="89"/>
      <c r="V112" s="81"/>
      <c r="W112" s="34"/>
    </row>
    <row r="113" spans="2:25" x14ac:dyDescent="0.35">
      <c r="B113" s="33"/>
      <c r="D113" s="10"/>
      <c r="E113" s="10"/>
      <c r="F113" s="10"/>
      <c r="G113" s="10"/>
      <c r="H113" s="10"/>
      <c r="I113" s="10"/>
      <c r="J113" s="10"/>
      <c r="S113" s="10"/>
      <c r="U113" s="89"/>
      <c r="V113" s="81"/>
      <c r="W113" s="34"/>
    </row>
    <row r="114" spans="2:25" x14ac:dyDescent="0.35">
      <c r="B114" s="33"/>
      <c r="D114" s="10"/>
      <c r="E114" s="10"/>
      <c r="F114" s="10"/>
      <c r="G114" s="10"/>
      <c r="H114" s="10"/>
      <c r="I114" s="10"/>
      <c r="J114" s="10"/>
      <c r="S114" s="10"/>
      <c r="U114" s="89"/>
      <c r="V114" s="81"/>
      <c r="W114" s="34"/>
    </row>
    <row r="115" spans="2:25" x14ac:dyDescent="0.35">
      <c r="B115" s="33"/>
      <c r="D115" s="10"/>
      <c r="E115" s="10"/>
      <c r="F115" s="10"/>
      <c r="G115" s="10"/>
      <c r="H115" s="10"/>
      <c r="I115" s="10"/>
      <c r="J115" s="10"/>
      <c r="N115" s="10"/>
      <c r="O115" s="10"/>
      <c r="P115" s="10"/>
      <c r="Q115" s="75"/>
      <c r="S115" s="10"/>
      <c r="U115" s="89"/>
      <c r="V115" s="81"/>
      <c r="W115" s="34"/>
    </row>
    <row r="116" spans="2:25" x14ac:dyDescent="0.35">
      <c r="B116" s="33"/>
      <c r="D116" s="10"/>
      <c r="E116" s="10"/>
      <c r="F116" s="10"/>
      <c r="G116" s="10"/>
      <c r="H116" s="10"/>
      <c r="I116" s="10"/>
      <c r="J116" s="10"/>
      <c r="N116" s="10"/>
      <c r="O116" s="10"/>
      <c r="P116" s="10"/>
      <c r="Q116" s="75"/>
      <c r="S116" s="10"/>
      <c r="U116" s="89"/>
      <c r="V116" s="81"/>
      <c r="W116" s="34"/>
    </row>
    <row r="117" spans="2:25" x14ac:dyDescent="0.35">
      <c r="B117" s="33"/>
      <c r="D117" s="10"/>
      <c r="E117" s="10"/>
      <c r="F117" s="10"/>
      <c r="G117" s="10"/>
      <c r="H117" s="10"/>
      <c r="I117" s="10"/>
      <c r="J117" s="10"/>
      <c r="N117" s="10"/>
      <c r="S117" s="10"/>
      <c r="U117" s="89"/>
      <c r="V117" s="81"/>
      <c r="W117" s="34"/>
    </row>
    <row r="118" spans="2:25" x14ac:dyDescent="0.35">
      <c r="B118" s="33"/>
      <c r="D118" s="10"/>
      <c r="E118" s="10"/>
      <c r="F118" s="10"/>
      <c r="G118" s="10"/>
      <c r="H118" s="10"/>
      <c r="I118" s="10"/>
      <c r="J118" s="10"/>
      <c r="N118" s="10"/>
      <c r="O118" s="90"/>
      <c r="W118" s="34"/>
    </row>
    <row r="119" spans="2:25" x14ac:dyDescent="0.35">
      <c r="B119" s="33"/>
      <c r="D119" s="10"/>
      <c r="E119" s="10"/>
      <c r="F119" s="10"/>
      <c r="G119" s="10"/>
      <c r="H119" s="10"/>
      <c r="I119" s="10"/>
      <c r="J119" s="10"/>
      <c r="N119" s="10"/>
      <c r="W119" s="34"/>
    </row>
    <row r="120" spans="2:25" x14ac:dyDescent="0.35">
      <c r="B120" s="33"/>
      <c r="D120" s="10"/>
      <c r="E120" s="10"/>
      <c r="F120" s="10"/>
      <c r="G120" s="10"/>
      <c r="H120" s="10"/>
      <c r="I120" s="10"/>
      <c r="J120" s="10"/>
      <c r="N120" s="10"/>
      <c r="W120" s="34"/>
    </row>
    <row r="121" spans="2:25" x14ac:dyDescent="0.35">
      <c r="B121" s="33"/>
      <c r="D121" s="10"/>
      <c r="E121" s="10"/>
      <c r="F121" s="10"/>
      <c r="G121" s="10"/>
      <c r="H121" s="10"/>
      <c r="I121" s="10"/>
      <c r="J121" s="10"/>
      <c r="W121" s="34"/>
    </row>
    <row r="122" spans="2:25" x14ac:dyDescent="0.35">
      <c r="B122" s="33"/>
      <c r="D122" s="10"/>
      <c r="E122" s="10"/>
      <c r="F122" s="10"/>
      <c r="G122" s="10"/>
      <c r="H122" s="10"/>
      <c r="I122" s="10"/>
      <c r="J122" s="10"/>
      <c r="W122" s="34"/>
    </row>
    <row r="123" spans="2:25" x14ac:dyDescent="0.35">
      <c r="B123" s="33"/>
      <c r="D123" s="10"/>
      <c r="E123" s="10"/>
      <c r="F123" s="10"/>
      <c r="G123" s="10"/>
      <c r="H123" s="10"/>
      <c r="I123" s="10"/>
      <c r="J123" s="10"/>
      <c r="W123" s="34"/>
    </row>
    <row r="124" spans="2:25" s="19" customFormat="1" ht="15" customHeight="1" x14ac:dyDescent="0.35">
      <c r="B124" s="30"/>
      <c r="C124" s="10"/>
      <c r="D124" s="10"/>
      <c r="E124" s="10"/>
      <c r="F124" s="10"/>
      <c r="G124" s="10"/>
      <c r="H124" s="10"/>
      <c r="I124" s="10"/>
      <c r="J124" s="10"/>
      <c r="M124" s="9"/>
      <c r="U124" s="465"/>
      <c r="V124" s="465"/>
      <c r="W124" s="589"/>
      <c r="X124" s="9"/>
    </row>
    <row r="125" spans="2:25" ht="15" customHeight="1" x14ac:dyDescent="0.35">
      <c r="B125" s="33"/>
      <c r="D125" s="10"/>
      <c r="E125" s="10"/>
      <c r="F125" s="10"/>
      <c r="G125" s="10"/>
      <c r="H125" s="10"/>
      <c r="I125" s="10"/>
      <c r="J125" s="10"/>
      <c r="U125" s="465"/>
      <c r="V125" s="465"/>
      <c r="W125" s="589"/>
      <c r="Y125" s="9"/>
    </row>
    <row r="126" spans="2:25" s="19" customFormat="1" ht="15" customHeight="1" x14ac:dyDescent="0.35">
      <c r="B126" s="30"/>
      <c r="C126" s="10"/>
      <c r="D126" s="10"/>
      <c r="E126" s="10"/>
      <c r="F126" s="10"/>
      <c r="G126" s="10"/>
      <c r="H126" s="10"/>
      <c r="I126" s="10"/>
      <c r="J126" s="10"/>
      <c r="M126" s="9"/>
      <c r="U126" s="465"/>
      <c r="V126" s="465"/>
      <c r="W126" s="589"/>
      <c r="X126" s="9"/>
    </row>
    <row r="127" spans="2:25" s="19" customFormat="1" ht="15" customHeight="1" x14ac:dyDescent="0.35">
      <c r="B127" s="30"/>
      <c r="C127" s="10"/>
      <c r="D127" s="10"/>
      <c r="E127" s="10"/>
      <c r="F127" s="10"/>
      <c r="G127" s="10"/>
      <c r="H127" s="10"/>
      <c r="I127" s="10"/>
      <c r="J127" s="10"/>
      <c r="M127" s="9"/>
      <c r="U127" s="465"/>
      <c r="V127" s="465"/>
      <c r="W127" s="589"/>
      <c r="X127" s="9"/>
    </row>
    <row r="128" spans="2:25" s="19" customFormat="1" ht="15" customHeight="1" x14ac:dyDescent="0.35">
      <c r="B128" s="30"/>
      <c r="C128" s="10"/>
      <c r="D128" s="10"/>
      <c r="E128" s="10"/>
      <c r="F128" s="10"/>
      <c r="G128" s="10"/>
      <c r="H128" s="10"/>
      <c r="I128" s="10"/>
      <c r="J128" s="10"/>
      <c r="M128" s="9"/>
      <c r="U128" s="465"/>
      <c r="V128" s="465"/>
      <c r="W128" s="589"/>
      <c r="X128" s="9"/>
    </row>
    <row r="129" spans="1:25" x14ac:dyDescent="0.35">
      <c r="B129" s="33"/>
      <c r="D129" s="10"/>
      <c r="E129" s="10"/>
      <c r="F129" s="10"/>
      <c r="G129" s="10"/>
      <c r="H129" s="10"/>
      <c r="I129" s="10"/>
      <c r="J129" s="10"/>
      <c r="U129" s="590"/>
      <c r="V129" s="465"/>
      <c r="W129" s="589"/>
    </row>
    <row r="130" spans="1:25" x14ac:dyDescent="0.35">
      <c r="B130" s="33"/>
      <c r="D130" s="10"/>
      <c r="E130" s="10"/>
      <c r="F130" s="10"/>
      <c r="G130" s="10"/>
      <c r="H130" s="10"/>
      <c r="I130" s="10"/>
      <c r="J130" s="10"/>
      <c r="W130" s="34"/>
    </row>
    <row r="131" spans="1:25" ht="15" customHeight="1" x14ac:dyDescent="0.35">
      <c r="B131" s="33"/>
      <c r="D131" s="10"/>
      <c r="E131" s="10"/>
      <c r="F131" s="10"/>
      <c r="G131" s="10"/>
      <c r="H131" s="10"/>
      <c r="I131" s="10"/>
      <c r="J131" s="10"/>
      <c r="W131" s="34"/>
    </row>
    <row r="132" spans="1:25" s="19" customFormat="1" ht="15" customHeight="1" x14ac:dyDescent="0.35">
      <c r="A132" s="77"/>
      <c r="B132" s="30"/>
      <c r="C132" s="10"/>
      <c r="W132" s="34"/>
      <c r="X132" s="9"/>
      <c r="Y132" s="32"/>
    </row>
    <row r="133" spans="1:25" s="19" customFormat="1" ht="15" customHeight="1" x14ac:dyDescent="0.35">
      <c r="A133" s="77"/>
      <c r="B133" s="30"/>
      <c r="C133" s="10"/>
      <c r="D133" s="19" t="str">
        <f>Financials!C218</f>
        <v>TV (Year 5)</v>
      </c>
      <c r="F133" s="9" t="str">
        <f ca="1">Financials!C221</f>
        <v>Capitalized Earnings</v>
      </c>
      <c r="H133" s="9" t="str">
        <f ca="1">Financials!C223</f>
        <v>H-Model</v>
      </c>
      <c r="I133" s="9"/>
      <c r="J133" s="9"/>
      <c r="L133" s="9" t="str">
        <f ca="1">Financials!C225</f>
        <v>EV/EBITDA Exit Multiple (6.0x)</v>
      </c>
      <c r="N133" s="9"/>
      <c r="O133" s="9"/>
      <c r="P133" s="9"/>
      <c r="Q133" s="9" t="str">
        <f ca="1">Financials!C227</f>
        <v>P/E Exit Multiple (5.0x)</v>
      </c>
      <c r="R133" s="9"/>
      <c r="S133" s="9"/>
      <c r="T133" s="9"/>
      <c r="U133" s="9" t="str">
        <f ca="1">Financials!C229</f>
        <v>One Stage Value Driver</v>
      </c>
      <c r="W133" s="34"/>
      <c r="X133" s="9"/>
      <c r="Y133" s="32"/>
    </row>
    <row r="134" spans="1:25" s="19" customFormat="1" ht="15" customHeight="1" x14ac:dyDescent="0.35">
      <c r="A134" s="77"/>
      <c r="B134" s="30"/>
      <c r="C134" s="10"/>
      <c r="D134" s="19" t="str">
        <f>Financials!C219</f>
        <v>PV of TV (Year 0)</v>
      </c>
      <c r="F134" s="9" t="str">
        <f ca="1">Financials!C222</f>
        <v>Gordon Growth</v>
      </c>
      <c r="H134" s="9" t="str">
        <f ca="1">Financials!C224</f>
        <v>EV/Revenue Exit Multiple (2.5x)</v>
      </c>
      <c r="I134" s="9"/>
      <c r="J134" s="9"/>
      <c r="L134" s="9" t="str">
        <f ca="1">Financials!C226</f>
        <v>EV/EBIT Exit Multiple (7.0x)</v>
      </c>
      <c r="N134" s="9"/>
      <c r="O134" s="9"/>
      <c r="P134" s="9"/>
      <c r="Q134" s="9" t="str">
        <f ca="1">Financials!C228</f>
        <v>P/B Exit Multiple (2.0x)</v>
      </c>
      <c r="R134" s="9"/>
      <c r="S134" s="9"/>
      <c r="T134" s="9"/>
      <c r="U134" s="9" t="str">
        <f ca="1">Financials!C230</f>
        <v>Two Stage Value Driver</v>
      </c>
      <c r="W134" s="34"/>
      <c r="X134" s="9"/>
      <c r="Y134" s="32"/>
    </row>
    <row r="135" spans="1:25" x14ac:dyDescent="0.35">
      <c r="B135" s="91"/>
      <c r="C135" s="92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93"/>
    </row>
    <row r="136" spans="1:25" ht="15" customHeight="1" x14ac:dyDescent="0.35">
      <c r="Y136" s="9"/>
    </row>
    <row r="137" spans="1:25" ht="15" customHeight="1" x14ac:dyDescent="0.35">
      <c r="Y137" s="9"/>
    </row>
    <row r="138" spans="1:25" ht="15" customHeight="1" x14ac:dyDescent="0.35">
      <c r="Y138" s="9"/>
    </row>
    <row r="139" spans="1:25" ht="15" customHeight="1" x14ac:dyDescent="0.35">
      <c r="B139" s="107"/>
      <c r="Y139" s="9"/>
    </row>
    <row r="140" spans="1:25" x14ac:dyDescent="0.35">
      <c r="B140" s="479"/>
    </row>
  </sheetData>
  <mergeCells count="1">
    <mergeCell ref="P81:R81"/>
  </mergeCells>
  <pageMargins left="0.5" right="0" top="0.5" bottom="0.5" header="0.3" footer="0.3"/>
  <pageSetup paperSize="9" scale="40" fitToHeight="0" orientation="portrait" r:id="rId1"/>
  <headerFooter>
    <oddFooter>&amp;L&amp;"Calibri,Regular"&amp;K000000Strictly private and confidential&amp;C&amp;"Calibri,Regular"&amp;K000000Page &amp;P of &amp;N&amp;R&amp;"Helvetica,Regular"&amp;12&amp;K000000&amp;F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Check Box 16">
              <controlPr defaultSize="0" autoFill="0" autoLine="0" autoPict="0">
                <anchor moveWithCells="1">
                  <from>
                    <xdr:col>2</xdr:col>
                    <xdr:colOff>560268</xdr:colOff>
                    <xdr:row>98</xdr:row>
                    <xdr:rowOff>116282</xdr:rowOff>
                  </from>
                  <to>
                    <xdr:col>2</xdr:col>
                    <xdr:colOff>819260</xdr:colOff>
                    <xdr:row>100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5</xdr:col>
                    <xdr:colOff>544412</xdr:colOff>
                    <xdr:row>98</xdr:row>
                    <xdr:rowOff>105711</xdr:rowOff>
                  </from>
                  <to>
                    <xdr:col>5</xdr:col>
                    <xdr:colOff>819260</xdr:colOff>
                    <xdr:row>100</xdr:row>
                    <xdr:rowOff>21142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6" name="Check Box 33">
              <controlPr defaultSize="0" autoFill="0" autoLine="0" autoPict="0">
                <anchor moveWithCells="1">
                  <from>
                    <xdr:col>8</xdr:col>
                    <xdr:colOff>523269</xdr:colOff>
                    <xdr:row>98</xdr:row>
                    <xdr:rowOff>142710</xdr:rowOff>
                  </from>
                  <to>
                    <xdr:col>8</xdr:col>
                    <xdr:colOff>782261</xdr:colOff>
                    <xdr:row>100</xdr:row>
                    <xdr:rowOff>58141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Check Box 18">
              <controlPr defaultSize="0" autoFill="0" autoLine="0" autoPict="0">
                <anchor moveWithCells="1">
                  <from>
                    <xdr:col>2</xdr:col>
                    <xdr:colOff>618409</xdr:colOff>
                    <xdr:row>131</xdr:row>
                    <xdr:rowOff>153281</xdr:rowOff>
                  </from>
                  <to>
                    <xdr:col>2</xdr:col>
                    <xdr:colOff>887972</xdr:colOff>
                    <xdr:row>133</xdr:row>
                    <xdr:rowOff>47570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Check Box 19">
              <controlPr defaultSize="0" autoFill="0" autoLine="0" autoPict="0">
                <anchor moveWithCells="1">
                  <from>
                    <xdr:col>2</xdr:col>
                    <xdr:colOff>618409</xdr:colOff>
                    <xdr:row>132</xdr:row>
                    <xdr:rowOff>153281</xdr:rowOff>
                  </from>
                  <to>
                    <xdr:col>2</xdr:col>
                    <xdr:colOff>887972</xdr:colOff>
                    <xdr:row>134</xdr:row>
                    <xdr:rowOff>47570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Check Box 20">
              <controlPr defaultSize="0" autoFill="0" autoLine="0" autoPict="0">
                <anchor moveWithCells="1">
                  <from>
                    <xdr:col>4</xdr:col>
                    <xdr:colOff>618409</xdr:colOff>
                    <xdr:row>131</xdr:row>
                    <xdr:rowOff>153281</xdr:rowOff>
                  </from>
                  <to>
                    <xdr:col>4</xdr:col>
                    <xdr:colOff>887972</xdr:colOff>
                    <xdr:row>133</xdr:row>
                    <xdr:rowOff>47570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Check Box 21">
              <controlPr defaultSize="0" autoFill="0" autoLine="0" autoPict="0">
                <anchor moveWithCells="1">
                  <from>
                    <xdr:col>4</xdr:col>
                    <xdr:colOff>618409</xdr:colOff>
                    <xdr:row>132</xdr:row>
                    <xdr:rowOff>163852</xdr:rowOff>
                  </from>
                  <to>
                    <xdr:col>5</xdr:col>
                    <xdr:colOff>10571</xdr:colOff>
                    <xdr:row>134</xdr:row>
                    <xdr:rowOff>47570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Check Box 22">
              <controlPr defaultSize="0" autoFill="0" autoLine="0" autoPict="0">
                <anchor moveWithCells="1">
                  <from>
                    <xdr:col>6</xdr:col>
                    <xdr:colOff>618409</xdr:colOff>
                    <xdr:row>131</xdr:row>
                    <xdr:rowOff>153281</xdr:rowOff>
                  </from>
                  <to>
                    <xdr:col>6</xdr:col>
                    <xdr:colOff>887972</xdr:colOff>
                    <xdr:row>133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Check Box 23">
              <controlPr defaultSize="0" autoFill="0" autoLine="0" autoPict="0">
                <anchor moveWithCells="1">
                  <from>
                    <xdr:col>6</xdr:col>
                    <xdr:colOff>618409</xdr:colOff>
                    <xdr:row>132</xdr:row>
                    <xdr:rowOff>163852</xdr:rowOff>
                  </from>
                  <to>
                    <xdr:col>7</xdr:col>
                    <xdr:colOff>10571</xdr:colOff>
                    <xdr:row>134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3" name="Check Box 24">
              <controlPr defaultSize="0" autoFill="0" autoLine="0" autoPict="0">
                <anchor moveWithCells="1">
                  <from>
                    <xdr:col>10</xdr:col>
                    <xdr:colOff>607838</xdr:colOff>
                    <xdr:row>131</xdr:row>
                    <xdr:rowOff>163852</xdr:rowOff>
                  </from>
                  <to>
                    <xdr:col>10</xdr:col>
                    <xdr:colOff>887972</xdr:colOff>
                    <xdr:row>133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4" name="Check Box 25">
              <controlPr defaultSize="0" autoFill="0" autoLine="0" autoPict="0">
                <anchor moveWithCells="1">
                  <from>
                    <xdr:col>10</xdr:col>
                    <xdr:colOff>607838</xdr:colOff>
                    <xdr:row>132</xdr:row>
                    <xdr:rowOff>163852</xdr:rowOff>
                  </from>
                  <to>
                    <xdr:col>11</xdr:col>
                    <xdr:colOff>10571</xdr:colOff>
                    <xdr:row>134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5" name="Check Box 26">
              <controlPr defaultSize="0" autoFill="0" autoLine="0" autoPict="0">
                <anchor moveWithCells="1">
                  <from>
                    <xdr:col>15</xdr:col>
                    <xdr:colOff>570839</xdr:colOff>
                    <xdr:row>131</xdr:row>
                    <xdr:rowOff>153281</xdr:rowOff>
                  </from>
                  <to>
                    <xdr:col>15</xdr:col>
                    <xdr:colOff>877401</xdr:colOff>
                    <xdr:row>133</xdr:row>
                    <xdr:rowOff>26428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6" name="Check Box 27">
              <controlPr defaultSize="0" autoFill="0" autoLine="0" autoPict="0">
                <anchor moveWithCells="1">
                  <from>
                    <xdr:col>15</xdr:col>
                    <xdr:colOff>560268</xdr:colOff>
                    <xdr:row>132</xdr:row>
                    <xdr:rowOff>163852</xdr:rowOff>
                  </from>
                  <to>
                    <xdr:col>15</xdr:col>
                    <xdr:colOff>877401</xdr:colOff>
                    <xdr:row>134</xdr:row>
                    <xdr:rowOff>26428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Check Box 28">
              <controlPr defaultSize="0" autoFill="0" autoLine="0" autoPict="0">
                <anchor moveWithCells="1">
                  <from>
                    <xdr:col>19</xdr:col>
                    <xdr:colOff>560268</xdr:colOff>
                    <xdr:row>131</xdr:row>
                    <xdr:rowOff>163852</xdr:rowOff>
                  </from>
                  <to>
                    <xdr:col>19</xdr:col>
                    <xdr:colOff>887972</xdr:colOff>
                    <xdr:row>133</xdr:row>
                    <xdr:rowOff>26428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Check Box 29">
              <controlPr defaultSize="0" autoFill="0" autoLine="0" autoPict="0">
                <anchor moveWithCells="1">
                  <from>
                    <xdr:col>19</xdr:col>
                    <xdr:colOff>560268</xdr:colOff>
                    <xdr:row>132</xdr:row>
                    <xdr:rowOff>179709</xdr:rowOff>
                  </from>
                  <to>
                    <xdr:col>20</xdr:col>
                    <xdr:colOff>10571</xdr:colOff>
                    <xdr:row>134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9" name="Check Box 8">
              <controlPr defaultSize="0" autoFill="0" autoLine="0" autoPict="0">
                <anchor moveWithCells="1">
                  <from>
                    <xdr:col>2</xdr:col>
                    <xdr:colOff>602553</xdr:colOff>
                    <xdr:row>70</xdr:row>
                    <xdr:rowOff>142710</xdr:rowOff>
                  </from>
                  <to>
                    <xdr:col>2</xdr:col>
                    <xdr:colOff>866830</xdr:colOff>
                    <xdr:row>72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0" name="Check Box 9">
              <controlPr defaultSize="0" autoFill="0" autoLine="0" autoPict="0">
                <anchor moveWithCells="1">
                  <from>
                    <xdr:col>2</xdr:col>
                    <xdr:colOff>602553</xdr:colOff>
                    <xdr:row>71</xdr:row>
                    <xdr:rowOff>142710</xdr:rowOff>
                  </from>
                  <to>
                    <xdr:col>2</xdr:col>
                    <xdr:colOff>866830</xdr:colOff>
                    <xdr:row>73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1" name="Check Box 10">
              <controlPr defaultSize="0" autoFill="0" autoLine="0" autoPict="0">
                <anchor moveWithCells="1">
                  <from>
                    <xdr:col>5</xdr:col>
                    <xdr:colOff>618409</xdr:colOff>
                    <xdr:row>70</xdr:row>
                    <xdr:rowOff>142710</xdr:rowOff>
                  </from>
                  <to>
                    <xdr:col>5</xdr:col>
                    <xdr:colOff>887972</xdr:colOff>
                    <xdr:row>72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2" name="Check Box 11">
              <controlPr defaultSize="0" autoFill="0" autoLine="0" autoPict="0">
                <anchor moveWithCells="1">
                  <from>
                    <xdr:col>5</xdr:col>
                    <xdr:colOff>618409</xdr:colOff>
                    <xdr:row>71</xdr:row>
                    <xdr:rowOff>142710</xdr:rowOff>
                  </from>
                  <to>
                    <xdr:col>6</xdr:col>
                    <xdr:colOff>10571</xdr:colOff>
                    <xdr:row>73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3" name="Check Box 12">
              <controlPr defaultSize="0" autoFill="0" autoLine="0" autoPict="0">
                <anchor moveWithCells="1">
                  <from>
                    <xdr:col>8</xdr:col>
                    <xdr:colOff>618409</xdr:colOff>
                    <xdr:row>70</xdr:row>
                    <xdr:rowOff>153281</xdr:rowOff>
                  </from>
                  <to>
                    <xdr:col>9</xdr:col>
                    <xdr:colOff>10571</xdr:colOff>
                    <xdr:row>72</xdr:row>
                    <xdr:rowOff>47570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4" name="Check Box 13">
              <controlPr defaultSize="0" autoFill="0" autoLine="0" autoPict="0">
                <anchor moveWithCells="1">
                  <from>
                    <xdr:col>13</xdr:col>
                    <xdr:colOff>618409</xdr:colOff>
                    <xdr:row>71</xdr:row>
                    <xdr:rowOff>142710</xdr:rowOff>
                  </from>
                  <to>
                    <xdr:col>13</xdr:col>
                    <xdr:colOff>887972</xdr:colOff>
                    <xdr:row>73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5" name="Check Box 14">
              <controlPr defaultSize="0" autoFill="0" autoLine="0" autoPict="0">
                <anchor moveWithCells="1">
                  <from>
                    <xdr:col>16</xdr:col>
                    <xdr:colOff>618409</xdr:colOff>
                    <xdr:row>71</xdr:row>
                    <xdr:rowOff>153281</xdr:rowOff>
                  </from>
                  <to>
                    <xdr:col>16</xdr:col>
                    <xdr:colOff>887972</xdr:colOff>
                    <xdr:row>73</xdr:row>
                    <xdr:rowOff>47570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6" name="Check Box 15">
              <controlPr defaultSize="0" autoFill="0" autoLine="0" autoPict="0">
                <anchor moveWithCells="1">
                  <from>
                    <xdr:col>19</xdr:col>
                    <xdr:colOff>618409</xdr:colOff>
                    <xdr:row>71</xdr:row>
                    <xdr:rowOff>153281</xdr:rowOff>
                  </from>
                  <to>
                    <xdr:col>19</xdr:col>
                    <xdr:colOff>887972</xdr:colOff>
                    <xdr:row>73</xdr:row>
                    <xdr:rowOff>47570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8B94BB-F694-DB4A-BFB4-D36C46A3B5B5}">
          <x14:formula1>
            <xm:f>Assumptions!$K$67:$K$76</xm:f>
          </x14:formula1>
          <xm:sqref>P81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701F-5A6F-4C44-9D00-FA6228A974AF}">
  <sheetPr>
    <tabColor theme="0" tint="-0.249977111117893"/>
    <pageSetUpPr fitToPage="1"/>
  </sheetPr>
  <dimension ref="A2:Z106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9" sqref="A9"/>
    </sheetView>
  </sheetViews>
  <sheetFormatPr defaultColWidth="8.4140625" defaultRowHeight="12.9" outlineLevelCol="1" x14ac:dyDescent="0.35"/>
  <cols>
    <col min="1" max="1" width="4.58203125" style="50" customWidth="1"/>
    <col min="2" max="2" width="1.83203125" style="50" customWidth="1"/>
    <col min="3" max="3" width="26.58203125" style="50" customWidth="1"/>
    <col min="4" max="4" width="1.58203125" style="50" customWidth="1"/>
    <col min="5" max="5" width="13.58203125" style="482" customWidth="1"/>
    <col min="6" max="6" width="1.58203125" style="50" customWidth="1"/>
    <col min="7" max="7" width="13.58203125" style="50" customWidth="1"/>
    <col min="8" max="8" width="1.58203125" style="50" customWidth="1"/>
    <col min="9" max="9" width="4.58203125" style="50" customWidth="1"/>
    <col min="10" max="10" width="1.58203125" style="50" customWidth="1"/>
    <col min="11" max="11" width="28.83203125" style="50" bestFit="1" customWidth="1"/>
    <col min="12" max="12" width="12.58203125" style="50" customWidth="1"/>
    <col min="13" max="21" width="13.58203125" style="50" customWidth="1"/>
    <col min="22" max="22" width="1.58203125" style="50" customWidth="1"/>
    <col min="23" max="24" width="1.83203125" style="50" customWidth="1"/>
    <col min="25" max="25" width="12.75" style="861" hidden="1" customWidth="1" outlineLevel="1"/>
    <col min="26" max="26" width="8.4140625" style="50" collapsed="1"/>
    <col min="27" max="16384" width="8.4140625" style="50"/>
  </cols>
  <sheetData>
    <row r="2" spans="1:26" s="48" customFormat="1" x14ac:dyDescent="0.35">
      <c r="C2" s="130" t="str">
        <f>Title!$B$5</f>
        <v xml:space="preserve">DCF Valuation Model </v>
      </c>
      <c r="V2" s="131" t="e">
        <f>Title!#REF!&amp;" "&amp;Title!#REF!</f>
        <v>#REF!</v>
      </c>
      <c r="W2" s="131"/>
      <c r="Y2" s="859" t="s">
        <v>28</v>
      </c>
    </row>
    <row r="3" spans="1:26" s="48" customFormat="1" x14ac:dyDescent="0.35">
      <c r="A3" s="50"/>
      <c r="B3" s="61"/>
      <c r="C3" s="689"/>
      <c r="D3" s="689"/>
      <c r="E3" s="489"/>
      <c r="F3" s="689"/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  <c r="R3" s="689"/>
      <c r="S3" s="689"/>
      <c r="T3" s="689"/>
      <c r="U3" s="61"/>
      <c r="V3" s="689" t="e">
        <f>Title!#REF!</f>
        <v>#REF!</v>
      </c>
      <c r="W3" s="131"/>
      <c r="Y3" s="860">
        <f>SUM(Y4:Y1048576)</f>
        <v>0</v>
      </c>
    </row>
    <row r="4" spans="1:26" s="48" customFormat="1" x14ac:dyDescent="0.35">
      <c r="A4" s="50"/>
      <c r="E4" s="58"/>
      <c r="Y4" s="861"/>
    </row>
    <row r="5" spans="1:26" s="48" customFormat="1" ht="20.399999999999999" x14ac:dyDescent="0.35">
      <c r="B5" s="50"/>
      <c r="C5" s="481" t="s">
        <v>29</v>
      </c>
      <c r="E5" s="58"/>
      <c r="Y5" s="47"/>
    </row>
    <row r="6" spans="1:26" s="48" customFormat="1" x14ac:dyDescent="0.35">
      <c r="A6" s="50"/>
      <c r="B6" s="50"/>
      <c r="C6" s="138" t="str">
        <f>"All amounts in "&amp;Assumptions!$G$14</f>
        <v>All amounts in USD</v>
      </c>
      <c r="D6" s="50"/>
      <c r="E6" s="482"/>
      <c r="F6" s="50"/>
      <c r="G6" s="50"/>
      <c r="H6" s="50"/>
      <c r="Y6" s="861"/>
    </row>
    <row r="7" spans="1:26" x14ac:dyDescent="0.35">
      <c r="B7" s="483"/>
      <c r="C7" s="484" t="s">
        <v>42</v>
      </c>
      <c r="D7" s="485"/>
      <c r="E7" s="486"/>
      <c r="F7" s="487"/>
      <c r="G7" s="487"/>
      <c r="H7" s="488"/>
      <c r="J7" s="483"/>
      <c r="K7" s="484" t="s">
        <v>23</v>
      </c>
      <c r="L7" s="486"/>
      <c r="M7" s="694">
        <f ca="1">N7-1</f>
        <v>2024</v>
      </c>
      <c r="N7" s="694">
        <f ca="1">O7-1</f>
        <v>2025</v>
      </c>
      <c r="O7" s="695">
        <f ca="1">P7</f>
        <v>2026</v>
      </c>
      <c r="P7" s="871">
        <f ca="1">Q7-1</f>
        <v>2026</v>
      </c>
      <c r="Q7" s="871">
        <f ca="1">G15</f>
        <v>2027</v>
      </c>
      <c r="R7" s="871">
        <f ca="1">Q7+1</f>
        <v>2028</v>
      </c>
      <c r="S7" s="871">
        <f t="shared" ref="S7:U7" ca="1" si="0">R7+1</f>
        <v>2029</v>
      </c>
      <c r="T7" s="871">
        <f t="shared" ca="1" si="0"/>
        <v>2030</v>
      </c>
      <c r="U7" s="871">
        <f t="shared" ca="1" si="0"/>
        <v>2031</v>
      </c>
      <c r="V7" s="488"/>
    </row>
    <row r="8" spans="1:26" s="48" customFormat="1" x14ac:dyDescent="0.35">
      <c r="B8" s="56"/>
      <c r="E8" s="58"/>
      <c r="H8" s="57"/>
      <c r="J8" s="691"/>
      <c r="K8" s="690" t="str">
        <f>"Forecast "&amp;E15</f>
        <v>Forecast Year</v>
      </c>
      <c r="L8" s="692"/>
      <c r="M8" s="150">
        <f>N8-1</f>
        <v>-2</v>
      </c>
      <c r="N8" s="150">
        <f>O8-1</f>
        <v>-1</v>
      </c>
      <c r="O8" s="152">
        <v>0</v>
      </c>
      <c r="P8" s="150">
        <f>N8+1</f>
        <v>0</v>
      </c>
      <c r="Q8" s="150">
        <f>O8+1</f>
        <v>1</v>
      </c>
      <c r="R8" s="150">
        <f>Q8+1</f>
        <v>2</v>
      </c>
      <c r="S8" s="150">
        <f>R8+1</f>
        <v>3</v>
      </c>
      <c r="T8" s="150">
        <f>S8+1</f>
        <v>4</v>
      </c>
      <c r="U8" s="150">
        <f>T8+1</f>
        <v>5</v>
      </c>
      <c r="V8" s="693"/>
      <c r="Y8" s="861"/>
    </row>
    <row r="9" spans="1:26" s="48" customFormat="1" x14ac:dyDescent="0.35">
      <c r="B9" s="56"/>
      <c r="C9" s="709" t="s">
        <v>289</v>
      </c>
      <c r="E9" s="876" t="s">
        <v>318</v>
      </c>
      <c r="F9" s="877"/>
      <c r="G9" s="878"/>
      <c r="H9" s="57"/>
      <c r="J9" s="56"/>
      <c r="K9" s="105"/>
      <c r="L9" s="58"/>
      <c r="O9" s="57"/>
      <c r="V9" s="57"/>
      <c r="Y9" s="861"/>
    </row>
    <row r="10" spans="1:26" s="48" customFormat="1" x14ac:dyDescent="0.35">
      <c r="B10" s="56"/>
      <c r="C10" s="709" t="s">
        <v>290</v>
      </c>
      <c r="E10" s="876" t="s">
        <v>319</v>
      </c>
      <c r="F10" s="877"/>
      <c r="G10" s="878"/>
      <c r="H10" s="57"/>
      <c r="J10" s="56"/>
      <c r="K10" s="698" t="str">
        <f>Financials!C7</f>
        <v>Income Statement</v>
      </c>
      <c r="L10" s="698"/>
      <c r="M10" s="61"/>
      <c r="N10" s="61"/>
      <c r="O10" s="62"/>
      <c r="P10" s="61"/>
      <c r="Q10" s="61"/>
      <c r="R10" s="61"/>
      <c r="S10" s="61"/>
      <c r="T10" s="61"/>
      <c r="U10" s="61"/>
      <c r="V10" s="57"/>
      <c r="Y10" s="861"/>
    </row>
    <row r="11" spans="1:26" s="48" customFormat="1" x14ac:dyDescent="0.35">
      <c r="B11" s="56"/>
      <c r="C11" s="710" t="s">
        <v>40</v>
      </c>
      <c r="E11" s="497"/>
      <c r="F11" s="50"/>
      <c r="G11" s="711"/>
      <c r="H11" s="57"/>
      <c r="J11" s="56"/>
      <c r="K11" s="105"/>
      <c r="L11" s="58"/>
      <c r="O11" s="57"/>
      <c r="V11" s="57"/>
      <c r="Y11" s="861"/>
    </row>
    <row r="12" spans="1:26" s="48" customFormat="1" x14ac:dyDescent="0.35">
      <c r="B12" s="56"/>
      <c r="C12" s="50"/>
      <c r="E12" s="497"/>
      <c r="F12" s="50"/>
      <c r="G12" s="497"/>
      <c r="H12" s="57"/>
      <c r="J12" s="56"/>
      <c r="K12" s="106" t="s">
        <v>278</v>
      </c>
      <c r="L12" s="494" t="str">
        <f>$G$14</f>
        <v>USD</v>
      </c>
      <c r="M12" s="495">
        <v>4500000</v>
      </c>
      <c r="N12" s="495">
        <v>4750000</v>
      </c>
      <c r="O12" s="495">
        <v>5000000</v>
      </c>
      <c r="P12" s="776">
        <f>MROUND(O12*(1+P13),1000)</f>
        <v>5263000</v>
      </c>
      <c r="Q12" s="496">
        <f>P12*(1+Q13)</f>
        <v>5657725</v>
      </c>
      <c r="R12" s="496">
        <f>Q12*(1+R13)</f>
        <v>6082054.375</v>
      </c>
      <c r="S12" s="496">
        <f>R12*(1+S13)</f>
        <v>6386157.09375</v>
      </c>
      <c r="T12" s="496">
        <f>S12*(1+T13)</f>
        <v>6705464.9484375007</v>
      </c>
      <c r="U12" s="496">
        <f>T12*(1+U13)</f>
        <v>7040738.1958593763</v>
      </c>
      <c r="V12" s="57"/>
      <c r="Y12" s="862">
        <f>SUM(P12:V12)-Financials!U10</f>
        <v>0</v>
      </c>
    </row>
    <row r="13" spans="1:26" s="48" customFormat="1" x14ac:dyDescent="0.35">
      <c r="B13" s="56"/>
      <c r="C13" s="105" t="s">
        <v>38</v>
      </c>
      <c r="E13" s="58"/>
      <c r="H13" s="57"/>
      <c r="J13" s="56"/>
      <c r="K13" s="498" t="str">
        <f>K12&amp;" Growth"</f>
        <v>Revenue Growth</v>
      </c>
      <c r="L13" s="51" t="s">
        <v>17</v>
      </c>
      <c r="M13" s="420" t="str">
        <f>IFERROR(((M12-L12)/L12),"NA")</f>
        <v>NA</v>
      </c>
      <c r="N13" s="420">
        <f t="shared" ref="N13" si="1">IFERROR(((N12-M12)/M12),"NA")</f>
        <v>5.5555555555555552E-2</v>
      </c>
      <c r="O13" s="737">
        <f t="shared" ref="O13" si="2">IFERROR(((O12-N12)/N12),"NA")</f>
        <v>5.2631578947368418E-2</v>
      </c>
      <c r="P13" s="777">
        <f>O13</f>
        <v>5.2631578947368418E-2</v>
      </c>
      <c r="Q13" s="499">
        <v>7.4999999999999997E-2</v>
      </c>
      <c r="R13" s="499">
        <v>7.4999999999999997E-2</v>
      </c>
      <c r="S13" s="499">
        <v>0.05</v>
      </c>
      <c r="T13" s="499">
        <v>0.05</v>
      </c>
      <c r="U13" s="499">
        <v>0.05</v>
      </c>
      <c r="V13" s="57"/>
      <c r="Y13" s="861"/>
    </row>
    <row r="14" spans="1:26" s="48" customFormat="1" x14ac:dyDescent="0.35">
      <c r="B14" s="56"/>
      <c r="C14" s="48" t="s">
        <v>10</v>
      </c>
      <c r="E14" s="58"/>
      <c r="G14" s="491" t="s">
        <v>5</v>
      </c>
      <c r="H14" s="57"/>
      <c r="J14" s="56"/>
      <c r="L14" s="58"/>
      <c r="O14" s="57"/>
      <c r="V14" s="57"/>
      <c r="Y14" s="861"/>
      <c r="Z14" s="480"/>
    </row>
    <row r="15" spans="1:26" s="48" customFormat="1" x14ac:dyDescent="0.35">
      <c r="B15" s="56"/>
      <c r="C15" s="48" t="s">
        <v>98</v>
      </c>
      <c r="E15" s="492" t="s">
        <v>46</v>
      </c>
      <c r="G15" s="493">
        <f ca="1">YEAR(TODAY())+1</f>
        <v>2027</v>
      </c>
      <c r="H15" s="57"/>
      <c r="J15" s="56"/>
      <c r="K15" s="500" t="s">
        <v>25</v>
      </c>
      <c r="L15" s="494" t="str">
        <f>$G$14</f>
        <v>USD</v>
      </c>
      <c r="M15" s="502">
        <v>2000000</v>
      </c>
      <c r="N15" s="502">
        <v>2300000</v>
      </c>
      <c r="O15" s="502">
        <v>2500000</v>
      </c>
      <c r="P15" s="776">
        <f t="shared" ref="P15:U15" si="3">IFERROR(P12*(1-P17),0)</f>
        <v>2631500</v>
      </c>
      <c r="Q15" s="496">
        <f t="shared" si="3"/>
        <v>3168326.0000000005</v>
      </c>
      <c r="R15" s="496">
        <f t="shared" si="3"/>
        <v>3405950.45</v>
      </c>
      <c r="S15" s="496">
        <f t="shared" si="3"/>
        <v>3512386.4015625003</v>
      </c>
      <c r="T15" s="496">
        <f t="shared" si="3"/>
        <v>3688005.7216406255</v>
      </c>
      <c r="U15" s="496">
        <f t="shared" si="3"/>
        <v>3872406.0077226572</v>
      </c>
      <c r="V15" s="57"/>
      <c r="Y15" s="862">
        <f>SUM(P15:V15)+Financials!U13</f>
        <v>0</v>
      </c>
      <c r="Z15" s="480"/>
    </row>
    <row r="16" spans="1:26" s="48" customFormat="1" x14ac:dyDescent="0.35">
      <c r="B16" s="56"/>
      <c r="C16" s="50"/>
      <c r="E16" s="497"/>
      <c r="F16" s="50"/>
      <c r="G16" s="497"/>
      <c r="H16" s="57"/>
      <c r="J16" s="56"/>
      <c r="K16" s="504" t="s">
        <v>48</v>
      </c>
      <c r="L16" s="506" t="str">
        <f>$G$14</f>
        <v>USD</v>
      </c>
      <c r="M16" s="507">
        <f>M12-M15</f>
        <v>2500000</v>
      </c>
      <c r="N16" s="507">
        <f t="shared" ref="N16:U16" si="4">N12-N15</f>
        <v>2450000</v>
      </c>
      <c r="O16" s="779">
        <f t="shared" si="4"/>
        <v>2500000</v>
      </c>
      <c r="P16" s="507">
        <f t="shared" ref="P16:Q16" si="5">P12-P15</f>
        <v>2631500</v>
      </c>
      <c r="Q16" s="507">
        <f t="shared" si="5"/>
        <v>2489398.9999999995</v>
      </c>
      <c r="R16" s="507">
        <f t="shared" si="4"/>
        <v>2676103.9249999998</v>
      </c>
      <c r="S16" s="507">
        <f t="shared" si="4"/>
        <v>2873770.6921874997</v>
      </c>
      <c r="T16" s="507">
        <f t="shared" si="4"/>
        <v>3017459.2267968752</v>
      </c>
      <c r="U16" s="507">
        <f t="shared" si="4"/>
        <v>3168332.1881367192</v>
      </c>
      <c r="V16" s="57"/>
      <c r="Y16" s="862">
        <f>SUM(P16:V16)-Financials!U14</f>
        <v>0</v>
      </c>
      <c r="Z16" s="480"/>
    </row>
    <row r="17" spans="1:26" s="48" customFormat="1" x14ac:dyDescent="0.35">
      <c r="B17" s="56"/>
      <c r="C17" s="105" t="s">
        <v>295</v>
      </c>
      <c r="E17" s="58"/>
      <c r="H17" s="57"/>
      <c r="J17" s="56"/>
      <c r="K17" s="498" t="str">
        <f>K16&amp;" Margin %"</f>
        <v>Gross Profit Margin %</v>
      </c>
      <c r="L17" s="51" t="s">
        <v>17</v>
      </c>
      <c r="M17" s="420">
        <f>IFERROR(M16/M$12,0)</f>
        <v>0.55555555555555558</v>
      </c>
      <c r="N17" s="420">
        <f t="shared" ref="N17" si="6">IFERROR(N16/N$12,0)</f>
        <v>0.51578947368421058</v>
      </c>
      <c r="O17" s="737">
        <f t="shared" ref="O17" si="7">IFERROR(O16/O$12,0)</f>
        <v>0.5</v>
      </c>
      <c r="P17" s="777">
        <f>O17</f>
        <v>0.5</v>
      </c>
      <c r="Q17" s="499">
        <v>0.44</v>
      </c>
      <c r="R17" s="499">
        <v>0.44</v>
      </c>
      <c r="S17" s="499">
        <v>0.45</v>
      </c>
      <c r="T17" s="499">
        <v>0.45</v>
      </c>
      <c r="U17" s="499">
        <v>0.45</v>
      </c>
      <c r="V17" s="57"/>
      <c r="Y17" s="861"/>
      <c r="Z17" s="480"/>
    </row>
    <row r="18" spans="1:26" s="48" customFormat="1" x14ac:dyDescent="0.35">
      <c r="B18" s="56"/>
      <c r="C18" s="446" t="s">
        <v>11</v>
      </c>
      <c r="E18" s="500" t="s">
        <v>2</v>
      </c>
      <c r="F18" s="446"/>
      <c r="G18" s="501">
        <v>5</v>
      </c>
      <c r="H18" s="57"/>
      <c r="J18" s="56"/>
      <c r="L18" s="58"/>
      <c r="O18" s="57"/>
      <c r="V18" s="57"/>
      <c r="Y18" s="861"/>
      <c r="Z18" s="480"/>
    </row>
    <row r="19" spans="1:26" s="48" customFormat="1" x14ac:dyDescent="0.35">
      <c r="B19" s="56"/>
      <c r="C19" s="50" t="s">
        <v>293</v>
      </c>
      <c r="D19" s="50"/>
      <c r="E19" s="482" t="s">
        <v>3</v>
      </c>
      <c r="F19" s="50"/>
      <c r="G19" s="503">
        <v>2.5000000000000001E-2</v>
      </c>
      <c r="H19" s="57"/>
      <c r="J19" s="56"/>
      <c r="K19" s="58" t="s">
        <v>133</v>
      </c>
      <c r="L19" s="494" t="str">
        <f>$G$14</f>
        <v>USD</v>
      </c>
      <c r="M19" s="495">
        <v>1190000</v>
      </c>
      <c r="N19" s="495">
        <v>1010000</v>
      </c>
      <c r="O19" s="495">
        <v>1580000</v>
      </c>
      <c r="P19" s="776">
        <v>1350000</v>
      </c>
      <c r="Q19" s="496">
        <f>-IFERROR((Q12*Q21)-Q16,0)</f>
        <v>1388714.3181818181</v>
      </c>
      <c r="R19" s="496">
        <f>-IFERROR((R12*R21)-R16,0)</f>
        <v>1492867.8920454548</v>
      </c>
      <c r="S19" s="496">
        <f>-IFERROR((S12*S21)-S16,0)</f>
        <v>1612297.3234090912</v>
      </c>
      <c r="T19" s="496">
        <f>-IFERROR((T12*T21)-T16,0)</f>
        <v>1757404.0825159098</v>
      </c>
      <c r="U19" s="496">
        <f>-IFERROR((U12*U21)-U16,0)</f>
        <v>1933144.4907675011</v>
      </c>
      <c r="V19" s="508"/>
      <c r="Y19" s="862">
        <f>SUM(P19:V19)+Financials!U17</f>
        <v>0</v>
      </c>
      <c r="Z19" s="480"/>
    </row>
    <row r="20" spans="1:26" s="48" customFormat="1" x14ac:dyDescent="0.35">
      <c r="A20" s="50"/>
      <c r="B20" s="56"/>
      <c r="C20" s="50" t="s">
        <v>294</v>
      </c>
      <c r="D20" s="50"/>
      <c r="E20" s="482" t="s">
        <v>3</v>
      </c>
      <c r="F20" s="50"/>
      <c r="G20" s="503">
        <v>0.25</v>
      </c>
      <c r="H20" s="57"/>
      <c r="J20" s="56"/>
      <c r="K20" s="504" t="s">
        <v>7</v>
      </c>
      <c r="L20" s="506" t="str">
        <f>$G$14</f>
        <v>USD</v>
      </c>
      <c r="M20" s="507">
        <f t="shared" ref="M20:U20" si="8">M16-M19</f>
        <v>1310000</v>
      </c>
      <c r="N20" s="507">
        <f t="shared" si="8"/>
        <v>1440000</v>
      </c>
      <c r="O20" s="779">
        <f t="shared" si="8"/>
        <v>920000</v>
      </c>
      <c r="P20" s="507">
        <f t="shared" ref="P20:Q20" si="9">P16-P19</f>
        <v>1281500</v>
      </c>
      <c r="Q20" s="507">
        <f t="shared" si="9"/>
        <v>1100684.6818181814</v>
      </c>
      <c r="R20" s="507">
        <f t="shared" si="8"/>
        <v>1183236.032954545</v>
      </c>
      <c r="S20" s="507">
        <f t="shared" si="8"/>
        <v>1261473.3687784085</v>
      </c>
      <c r="T20" s="507">
        <f t="shared" si="8"/>
        <v>1260055.1442809654</v>
      </c>
      <c r="U20" s="507">
        <f t="shared" si="8"/>
        <v>1235187.6973692181</v>
      </c>
      <c r="V20" s="57"/>
      <c r="Y20" s="862">
        <f>SUM(P20:V20)-Financials!U18</f>
        <v>0</v>
      </c>
      <c r="Z20" s="480"/>
    </row>
    <row r="21" spans="1:26" s="48" customFormat="1" x14ac:dyDescent="0.35">
      <c r="A21" s="50"/>
      <c r="B21" s="56"/>
      <c r="C21" s="50" t="s">
        <v>33</v>
      </c>
      <c r="D21" s="50"/>
      <c r="E21" s="482" t="s">
        <v>296</v>
      </c>
      <c r="F21" s="50"/>
      <c r="G21" s="503">
        <v>0.3</v>
      </c>
      <c r="H21" s="57"/>
      <c r="J21" s="56"/>
      <c r="K21" s="498" t="str">
        <f>K20&amp;" Margin %"</f>
        <v>EBITDA Margin %</v>
      </c>
      <c r="L21" s="51" t="s">
        <v>17</v>
      </c>
      <c r="M21" s="420">
        <f>IFERROR(M20/M$12,0)</f>
        <v>0.2911111111111111</v>
      </c>
      <c r="N21" s="420">
        <f t="shared" ref="N21:O21" si="10">IFERROR(N20/N$12,0)</f>
        <v>0.30315789473684213</v>
      </c>
      <c r="O21" s="737">
        <f t="shared" si="10"/>
        <v>0.184</v>
      </c>
      <c r="P21" s="777">
        <f>O21</f>
        <v>0.184</v>
      </c>
      <c r="Q21" s="499">
        <v>0.19454545454545447</v>
      </c>
      <c r="R21" s="499">
        <v>0.19454545454545447</v>
      </c>
      <c r="S21" s="499">
        <v>0.19753246753246745</v>
      </c>
      <c r="T21" s="499">
        <v>0.18791465677179953</v>
      </c>
      <c r="U21" s="499">
        <v>0.17543440233236141</v>
      </c>
      <c r="V21" s="57"/>
      <c r="Y21" s="862"/>
      <c r="Z21" s="480"/>
    </row>
    <row r="22" spans="1:26" s="48" customFormat="1" ht="14.15" customHeight="1" x14ac:dyDescent="0.35">
      <c r="B22" s="56"/>
      <c r="C22" s="50"/>
      <c r="D22" s="50"/>
      <c r="E22" s="482"/>
      <c r="F22" s="50"/>
      <c r="G22" s="50"/>
      <c r="H22" s="57"/>
      <c r="J22" s="56"/>
      <c r="L22" s="58"/>
      <c r="O22" s="57"/>
      <c r="V22" s="57"/>
      <c r="Y22" s="861"/>
      <c r="Z22" s="480"/>
    </row>
    <row r="23" spans="1:26" s="48" customFormat="1" ht="14.15" customHeight="1" x14ac:dyDescent="0.35">
      <c r="B23" s="56"/>
      <c r="C23" s="130" t="s">
        <v>21</v>
      </c>
      <c r="D23" s="50"/>
      <c r="E23" s="482"/>
      <c r="F23" s="50"/>
      <c r="G23" s="50"/>
      <c r="H23" s="57"/>
      <c r="J23" s="56"/>
      <c r="K23" s="58" t="s">
        <v>26</v>
      </c>
      <c r="L23" s="494" t="str">
        <f>$G$14</f>
        <v>USD</v>
      </c>
      <c r="M23" s="495">
        <v>100000</v>
      </c>
      <c r="N23" s="495">
        <v>100000</v>
      </c>
      <c r="O23" s="495">
        <v>100000</v>
      </c>
      <c r="P23" s="510">
        <f>-Financials!N21</f>
        <v>0</v>
      </c>
      <c r="Q23" s="510">
        <f>-Financials!O21</f>
        <v>300000</v>
      </c>
      <c r="R23" s="510">
        <f>-Financials!P21</f>
        <v>300000</v>
      </c>
      <c r="S23" s="510">
        <f>-Financials!Q21</f>
        <v>300000</v>
      </c>
      <c r="T23" s="510">
        <f>-Financials!R21</f>
        <v>300000</v>
      </c>
      <c r="U23" s="510">
        <f>-Financials!S21</f>
        <v>350000</v>
      </c>
      <c r="V23" s="508"/>
      <c r="Y23" s="862">
        <f>SUM(P23:V23)+Financials!U21</f>
        <v>0</v>
      </c>
      <c r="Z23" s="480"/>
    </row>
    <row r="24" spans="1:26" s="48" customFormat="1" ht="14.15" customHeight="1" x14ac:dyDescent="0.35">
      <c r="B24" s="520"/>
      <c r="C24" s="50" t="str">
        <f>K33</f>
        <v>Receivables</v>
      </c>
      <c r="D24" s="50"/>
      <c r="E24" s="58" t="str">
        <f>"Days "&amp;K12</f>
        <v>Days Revenue</v>
      </c>
      <c r="F24" s="50"/>
      <c r="G24" s="509">
        <v>30</v>
      </c>
      <c r="H24" s="521"/>
      <c r="J24" s="56"/>
      <c r="K24" s="58" t="s">
        <v>34</v>
      </c>
      <c r="L24" s="494" t="str">
        <f>$G$14</f>
        <v>USD</v>
      </c>
      <c r="M24" s="495">
        <v>0</v>
      </c>
      <c r="N24" s="495">
        <v>0</v>
      </c>
      <c r="O24" s="495">
        <v>0</v>
      </c>
      <c r="P24" s="778">
        <v>0</v>
      </c>
      <c r="Q24" s="495">
        <v>0</v>
      </c>
      <c r="R24" s="495">
        <v>0</v>
      </c>
      <c r="S24" s="495">
        <v>0</v>
      </c>
      <c r="T24" s="495">
        <v>0</v>
      </c>
      <c r="U24" s="495">
        <v>0</v>
      </c>
      <c r="V24" s="57"/>
      <c r="Y24" s="862">
        <f>SUM(P24:V24)+Financials!U25</f>
        <v>0</v>
      </c>
      <c r="Z24" s="480"/>
    </row>
    <row r="25" spans="1:26" s="48" customFormat="1" ht="14.15" customHeight="1" x14ac:dyDescent="0.35">
      <c r="B25" s="520"/>
      <c r="C25" s="50" t="str">
        <f>K34</f>
        <v>Inventory</v>
      </c>
      <c r="D25" s="50"/>
      <c r="E25" s="58" t="str">
        <f>"Days "&amp;K15</f>
        <v>Days Direct Costs</v>
      </c>
      <c r="F25" s="50"/>
      <c r="G25" s="509">
        <v>15</v>
      </c>
      <c r="H25" s="521"/>
      <c r="J25" s="56"/>
      <c r="K25" s="58" t="s">
        <v>138</v>
      </c>
      <c r="L25" s="494" t="str">
        <f>$G$14</f>
        <v>USD</v>
      </c>
      <c r="M25" s="708">
        <f>IFERROR(AVERAGE(M49)*$G$19,0)</f>
        <v>37500</v>
      </c>
      <c r="N25" s="708">
        <f t="shared" ref="N25:O25" si="11">IFERROR(AVERAGE(M49:N49)*$G$19,0)</f>
        <v>39375</v>
      </c>
      <c r="O25" s="708">
        <f t="shared" si="11"/>
        <v>45625</v>
      </c>
      <c r="P25" s="1">
        <f>-Financials!N26</f>
        <v>50000</v>
      </c>
      <c r="Q25" s="1">
        <f>-Financials!O26</f>
        <v>46250</v>
      </c>
      <c r="R25" s="1">
        <f>-Financials!P26</f>
        <v>38750</v>
      </c>
      <c r="S25" s="1">
        <f>-Financials!Q26</f>
        <v>31250</v>
      </c>
      <c r="T25" s="1">
        <f>-Financials!R26</f>
        <v>23750</v>
      </c>
      <c r="U25" s="1">
        <f>-Financials!S26</f>
        <v>16250</v>
      </c>
      <c r="V25" s="57"/>
      <c r="Y25" s="862">
        <f>SUM(P25:V25)+Financials!U26</f>
        <v>0</v>
      </c>
      <c r="Z25" s="480"/>
    </row>
    <row r="26" spans="1:26" s="48" customFormat="1" ht="14.15" customHeight="1" x14ac:dyDescent="0.35">
      <c r="B26" s="520"/>
      <c r="C26" s="50" t="str">
        <f>K44</f>
        <v>Payables</v>
      </c>
      <c r="D26" s="50"/>
      <c r="E26" s="58" t="str">
        <f>E25</f>
        <v>Days Direct Costs</v>
      </c>
      <c r="F26" s="50"/>
      <c r="G26" s="509">
        <v>20</v>
      </c>
      <c r="H26" s="521"/>
      <c r="J26" s="56"/>
      <c r="K26" s="58" t="s">
        <v>30</v>
      </c>
      <c r="L26" s="494" t="str">
        <f>$G$14</f>
        <v>USD</v>
      </c>
      <c r="M26" s="708">
        <f>IF((M20-SUM(M23:M25))&gt;0,(M20-SUM(M23:M25))*$G$20,0)</f>
        <v>293125</v>
      </c>
      <c r="N26" s="708">
        <f t="shared" ref="N26:O26" si="12">IF((N20-SUM(N23:N25))&gt;0,(N20-SUM(N23:N25))*$G$20,0)</f>
        <v>325156.25</v>
      </c>
      <c r="O26" s="708">
        <f t="shared" si="12"/>
        <v>193593.75</v>
      </c>
      <c r="P26" s="1">
        <f>-Financials!N30</f>
        <v>307875</v>
      </c>
      <c r="Q26" s="1">
        <f>-Financials!O30</f>
        <v>188608.67045454535</v>
      </c>
      <c r="R26" s="1">
        <f>-Financials!P30</f>
        <v>211121.50823863625</v>
      </c>
      <c r="S26" s="1">
        <f>-Financials!Q30</f>
        <v>232555.84219460213</v>
      </c>
      <c r="T26" s="1">
        <f>-Financials!R30</f>
        <v>234076.28607024136</v>
      </c>
      <c r="U26" s="1">
        <f>-Financials!S30</f>
        <v>217234.42434230453</v>
      </c>
      <c r="V26" s="57"/>
      <c r="Y26" s="862">
        <f>SUM(P26:V26)+Financials!U30</f>
        <v>0</v>
      </c>
      <c r="Z26" s="480"/>
    </row>
    <row r="27" spans="1:26" s="48" customFormat="1" ht="14.15" customHeight="1" x14ac:dyDescent="0.35">
      <c r="B27" s="520"/>
      <c r="C27" s="50" t="str">
        <f>K35</f>
        <v>Other Current Assets</v>
      </c>
      <c r="D27" s="50"/>
      <c r="E27" s="482" t="str">
        <f>"% of "&amp;K12</f>
        <v>% of Revenue</v>
      </c>
      <c r="F27" s="50"/>
      <c r="G27" s="718">
        <v>5.0000000000000001E-3</v>
      </c>
      <c r="H27" s="521"/>
      <c r="J27" s="56"/>
      <c r="K27" s="511" t="s">
        <v>288</v>
      </c>
      <c r="L27" s="513" t="str">
        <f>$G$14</f>
        <v>USD</v>
      </c>
      <c r="M27" s="514">
        <f>M20-SUM(M23:M26)</f>
        <v>879375</v>
      </c>
      <c r="N27" s="514">
        <f t="shared" ref="N27:U27" si="13">N20-SUM(N23:N26)</f>
        <v>975468.75</v>
      </c>
      <c r="O27" s="780">
        <f t="shared" si="13"/>
        <v>580781.25</v>
      </c>
      <c r="P27" s="514">
        <f t="shared" ref="P27" si="14">P20-SUM(P23:P26)</f>
        <v>923625</v>
      </c>
      <c r="Q27" s="514">
        <f t="shared" si="13"/>
        <v>565826.011363636</v>
      </c>
      <c r="R27" s="514">
        <f t="shared" si="13"/>
        <v>633364.5247159088</v>
      </c>
      <c r="S27" s="514">
        <f t="shared" si="13"/>
        <v>697667.52658380638</v>
      </c>
      <c r="T27" s="514">
        <f t="shared" si="13"/>
        <v>702228.85821072408</v>
      </c>
      <c r="U27" s="514">
        <f t="shared" si="13"/>
        <v>651703.27302691364</v>
      </c>
      <c r="V27" s="57"/>
      <c r="Y27" s="862">
        <f>SUM(P27:V27)-Financials!U31</f>
        <v>0</v>
      </c>
    </row>
    <row r="28" spans="1:26" s="48" customFormat="1" ht="14.15" customHeight="1" x14ac:dyDescent="0.35">
      <c r="B28" s="56"/>
      <c r="C28" s="50" t="str">
        <f>K45</f>
        <v>Other Current Liabilities</v>
      </c>
      <c r="E28" s="482" t="str">
        <f>"% of "&amp;K15</f>
        <v>% of Direct Costs</v>
      </c>
      <c r="G28" s="718">
        <v>5.0000000000000001E-3</v>
      </c>
      <c r="H28" s="57"/>
      <c r="J28" s="515"/>
      <c r="K28" s="498" t="str">
        <f>K27&amp;" Margin %"</f>
        <v>Net Income/Loss Margin %</v>
      </c>
      <c r="L28" s="51" t="s">
        <v>17</v>
      </c>
      <c r="M28" s="420">
        <f>IFERROR(M27/M$12,0)</f>
        <v>0.19541666666666666</v>
      </c>
      <c r="N28" s="420">
        <f t="shared" ref="N28:U28" si="15">IFERROR(N27/N$12,0)</f>
        <v>0.20536184210526315</v>
      </c>
      <c r="O28" s="737">
        <f t="shared" si="15"/>
        <v>0.11615625</v>
      </c>
      <c r="P28" s="420">
        <f t="shared" ref="P28" si="16">IFERROR(P27/P$12,0)</f>
        <v>0.1754940148204446</v>
      </c>
      <c r="Q28" s="420">
        <f t="shared" si="15"/>
        <v>0.10000945810615326</v>
      </c>
      <c r="R28" s="420">
        <f t="shared" si="15"/>
        <v>0.10413661004402132</v>
      </c>
      <c r="S28" s="420">
        <f t="shared" si="15"/>
        <v>0.10924684694440091</v>
      </c>
      <c r="T28" s="420">
        <f t="shared" si="15"/>
        <v>0.10472485705474556</v>
      </c>
      <c r="U28" s="420">
        <f t="shared" si="15"/>
        <v>9.2561781861194209E-2</v>
      </c>
      <c r="V28" s="57"/>
      <c r="Y28" s="862"/>
    </row>
    <row r="29" spans="1:26" s="48" customFormat="1" ht="14.15" customHeight="1" x14ac:dyDescent="0.35">
      <c r="B29" s="60"/>
      <c r="C29" s="61"/>
      <c r="D29" s="61"/>
      <c r="E29" s="489"/>
      <c r="F29" s="61"/>
      <c r="G29" s="61"/>
      <c r="H29" s="62"/>
      <c r="J29" s="515"/>
      <c r="K29" s="498"/>
      <c r="L29" s="51"/>
      <c r="M29" s="784"/>
      <c r="N29" s="420"/>
      <c r="O29" s="737"/>
      <c r="P29" s="420"/>
      <c r="Q29" s="420"/>
      <c r="R29" s="420"/>
      <c r="S29" s="420"/>
      <c r="T29" s="420"/>
      <c r="U29" s="420"/>
      <c r="V29" s="57"/>
      <c r="Y29" s="861"/>
      <c r="Z29" s="480"/>
    </row>
    <row r="30" spans="1:26" s="48" customFormat="1" ht="14.15" customHeight="1" x14ac:dyDescent="0.35">
      <c r="J30" s="56"/>
      <c r="K30" s="698" t="str">
        <f>Financials!C38</f>
        <v>Balance Sheet</v>
      </c>
      <c r="L30" s="698"/>
      <c r="M30" s="490"/>
      <c r="N30" s="490"/>
      <c r="O30" s="781"/>
      <c r="P30" s="490"/>
      <c r="Q30" s="490"/>
      <c r="R30" s="490"/>
      <c r="S30" s="490"/>
      <c r="T30" s="490"/>
      <c r="U30" s="490"/>
      <c r="V30" s="57"/>
      <c r="Y30" s="861"/>
      <c r="Z30" s="480"/>
    </row>
    <row r="31" spans="1:26" s="48" customFormat="1" ht="14.15" customHeight="1" x14ac:dyDescent="0.35">
      <c r="B31" s="483"/>
      <c r="C31" s="484" t="s">
        <v>271</v>
      </c>
      <c r="D31" s="485"/>
      <c r="E31" s="486"/>
      <c r="F31" s="487"/>
      <c r="G31" s="487"/>
      <c r="H31" s="487"/>
      <c r="J31" s="56"/>
      <c r="O31" s="57"/>
      <c r="V31" s="57"/>
      <c r="Y31" s="861"/>
      <c r="Z31" s="480"/>
    </row>
    <row r="32" spans="1:26" s="48" customFormat="1" ht="14.15" customHeight="1" x14ac:dyDescent="0.35">
      <c r="B32" s="56"/>
      <c r="H32" s="57"/>
      <c r="J32" s="56"/>
      <c r="K32" s="696" t="s">
        <v>94</v>
      </c>
      <c r="L32" s="494" t="str">
        <f t="shared" ref="L32:L45" si="17">$G$14</f>
        <v>USD</v>
      </c>
      <c r="M32" s="495">
        <v>300000</v>
      </c>
      <c r="N32" s="495">
        <v>450000</v>
      </c>
      <c r="O32" s="495">
        <v>600000</v>
      </c>
      <c r="P32" s="776">
        <f>O32</f>
        <v>600000</v>
      </c>
      <c r="Q32" s="1">
        <f ca="1">Financials!O41</f>
        <v>971699.34309153142</v>
      </c>
      <c r="R32" s="1">
        <f ca="1">Financials!P41</f>
        <v>1383738.0834920481</v>
      </c>
      <c r="S32" s="1">
        <f ca="1">Financials!Q41</f>
        <v>1846341.9457330317</v>
      </c>
      <c r="T32" s="1">
        <f ca="1">Financials!R41</f>
        <v>2063344.9667109591</v>
      </c>
      <c r="U32" s="1">
        <f ca="1">Financials!S41</f>
        <v>2543752.2190717403</v>
      </c>
      <c r="V32" s="57"/>
      <c r="Y32" s="861"/>
      <c r="Z32" s="480"/>
    </row>
    <row r="33" spans="1:26" s="48" customFormat="1" ht="14.15" customHeight="1" x14ac:dyDescent="0.35">
      <c r="B33" s="56"/>
      <c r="C33" s="673" t="s">
        <v>255</v>
      </c>
      <c r="D33" s="674"/>
      <c r="F33" s="674"/>
      <c r="G33" s="674"/>
      <c r="H33" s="57"/>
      <c r="J33" s="56"/>
      <c r="K33" s="696" t="s">
        <v>52</v>
      </c>
      <c r="L33" s="494" t="str">
        <f t="shared" si="17"/>
        <v>USD</v>
      </c>
      <c r="M33" s="495">
        <v>600000</v>
      </c>
      <c r="N33" s="495">
        <v>550000</v>
      </c>
      <c r="O33" s="495">
        <v>450000</v>
      </c>
      <c r="P33" s="1">
        <f ca="1">Financials!N42</f>
        <v>432575.34246575343</v>
      </c>
      <c r="Q33" s="1">
        <f ca="1">Financials!O42</f>
        <v>465018.49315068492</v>
      </c>
      <c r="R33" s="1">
        <f ca="1">Financials!P42</f>
        <v>498529.04713114753</v>
      </c>
      <c r="S33" s="1">
        <f ca="1">Financials!Q42</f>
        <v>524889.62414383562</v>
      </c>
      <c r="T33" s="1">
        <f ca="1">Financials!R42</f>
        <v>551134.10535102745</v>
      </c>
      <c r="U33" s="1">
        <f ca="1">Financials!S42</f>
        <v>578690.81061857892</v>
      </c>
      <c r="V33" s="57"/>
      <c r="Y33" s="861"/>
      <c r="Z33" s="480"/>
    </row>
    <row r="34" spans="1:26" s="48" customFormat="1" ht="14.15" customHeight="1" x14ac:dyDescent="0.35">
      <c r="B34" s="56"/>
      <c r="C34" s="48" t="s">
        <v>56</v>
      </c>
      <c r="E34" s="48" t="s">
        <v>17</v>
      </c>
      <c r="F34" s="674"/>
      <c r="G34" s="516">
        <v>0.65</v>
      </c>
      <c r="H34" s="57"/>
      <c r="J34" s="56"/>
      <c r="K34" s="696" t="s">
        <v>100</v>
      </c>
      <c r="L34" s="494" t="str">
        <f t="shared" si="17"/>
        <v>USD</v>
      </c>
      <c r="M34" s="495">
        <v>450000</v>
      </c>
      <c r="N34" s="495">
        <v>550000</v>
      </c>
      <c r="O34" s="495">
        <v>350000</v>
      </c>
      <c r="P34" s="1">
        <f ca="1">Financials!N43</f>
        <v>108143.83561643836</v>
      </c>
      <c r="Q34" s="1">
        <f ca="1">Financials!O43</f>
        <v>130205.17808219181</v>
      </c>
      <c r="R34" s="1">
        <f ca="1">Financials!P43</f>
        <v>139588.13319672132</v>
      </c>
      <c r="S34" s="1">
        <f ca="1">Financials!Q43</f>
        <v>144344.64663955482</v>
      </c>
      <c r="T34" s="1">
        <f ca="1">Financials!R43</f>
        <v>151561.87897153257</v>
      </c>
      <c r="U34" s="1">
        <f ca="1">Financials!S43</f>
        <v>159139.9729201092</v>
      </c>
      <c r="V34" s="57"/>
      <c r="Y34" s="862"/>
      <c r="Z34" s="480"/>
    </row>
    <row r="35" spans="1:26" s="48" customFormat="1" ht="14.15" customHeight="1" x14ac:dyDescent="0.35">
      <c r="B35" s="56"/>
      <c r="C35" s="48" t="s">
        <v>259</v>
      </c>
      <c r="E35" s="48" t="s">
        <v>17</v>
      </c>
      <c r="F35" s="674"/>
      <c r="G35" s="115">
        <f>1-G34</f>
        <v>0.35</v>
      </c>
      <c r="H35" s="57"/>
      <c r="J35" s="56"/>
      <c r="K35" s="725" t="s">
        <v>53</v>
      </c>
      <c r="L35" s="494" t="str">
        <f t="shared" si="17"/>
        <v>USD</v>
      </c>
      <c r="M35" s="502">
        <v>40000</v>
      </c>
      <c r="N35" s="502">
        <v>40000</v>
      </c>
      <c r="O35" s="502">
        <v>20000</v>
      </c>
      <c r="P35" s="1">
        <f>Financials!N44</f>
        <v>26315</v>
      </c>
      <c r="Q35" s="1">
        <f>Financials!O44</f>
        <v>28288.625</v>
      </c>
      <c r="R35" s="1">
        <f>Financials!P44</f>
        <v>30410.271875000002</v>
      </c>
      <c r="S35" s="1">
        <f>Financials!Q44</f>
        <v>31930.78546875</v>
      </c>
      <c r="T35" s="1">
        <f>Financials!R44</f>
        <v>33527.324742187506</v>
      </c>
      <c r="U35" s="1">
        <f>Financials!S44</f>
        <v>35203.69097929688</v>
      </c>
      <c r="V35" s="57"/>
      <c r="Y35" s="862"/>
      <c r="Z35" s="480"/>
    </row>
    <row r="36" spans="1:26" s="48" customFormat="1" ht="14.15" customHeight="1" x14ac:dyDescent="0.35">
      <c r="B36" s="56"/>
      <c r="C36" s="505" t="s">
        <v>260</v>
      </c>
      <c r="D36" s="505"/>
      <c r="E36" s="686" t="s">
        <v>17</v>
      </c>
      <c r="F36" s="687"/>
      <c r="G36" s="688">
        <f>SUM(G34:G35)</f>
        <v>1</v>
      </c>
      <c r="H36" s="57"/>
      <c r="J36" s="56"/>
      <c r="K36" s="505" t="s">
        <v>282</v>
      </c>
      <c r="L36" s="506" t="str">
        <f t="shared" si="17"/>
        <v>USD</v>
      </c>
      <c r="M36" s="507">
        <f>SUM(M32:M35)</f>
        <v>1390000</v>
      </c>
      <c r="N36" s="507">
        <f t="shared" ref="N36:U36" si="18">SUM(N32:N35)</f>
        <v>1590000</v>
      </c>
      <c r="O36" s="779">
        <f t="shared" si="18"/>
        <v>1420000</v>
      </c>
      <c r="P36" s="507">
        <f t="shared" ca="1" si="18"/>
        <v>1167034.1780821919</v>
      </c>
      <c r="Q36" s="507">
        <f t="shared" ca="1" si="18"/>
        <v>1595211.6393244083</v>
      </c>
      <c r="R36" s="507">
        <f t="shared" ca="1" si="18"/>
        <v>2052265.535694917</v>
      </c>
      <c r="S36" s="507">
        <f t="shared" ca="1" si="18"/>
        <v>2547507.0019851723</v>
      </c>
      <c r="T36" s="507">
        <f t="shared" ca="1" si="18"/>
        <v>2799568.2757757064</v>
      </c>
      <c r="U36" s="507">
        <f t="shared" ca="1" si="18"/>
        <v>3316786.6935897251</v>
      </c>
      <c r="V36" s="57"/>
      <c r="Y36" s="862"/>
      <c r="Z36" s="480"/>
    </row>
    <row r="37" spans="1:26" s="48" customFormat="1" ht="14.15" customHeight="1" x14ac:dyDescent="0.35">
      <c r="B37" s="56"/>
      <c r="F37" s="674"/>
      <c r="H37" s="57"/>
      <c r="J37" s="56"/>
      <c r="O37" s="57"/>
      <c r="V37" s="57"/>
      <c r="Y37" s="862"/>
      <c r="Z37" s="480"/>
    </row>
    <row r="38" spans="1:26" s="48" customFormat="1" ht="14.15" customHeight="1" x14ac:dyDescent="0.35">
      <c r="B38" s="56"/>
      <c r="C38" s="673" t="s">
        <v>256</v>
      </c>
      <c r="F38" s="674"/>
      <c r="H38" s="57"/>
      <c r="J38" s="56"/>
      <c r="K38" s="697" t="s">
        <v>1</v>
      </c>
      <c r="L38" s="494" t="str">
        <f t="shared" si="17"/>
        <v>USD</v>
      </c>
      <c r="M38" s="495">
        <v>1900000</v>
      </c>
      <c r="N38" s="495">
        <v>2000000</v>
      </c>
      <c r="O38" s="495">
        <v>2250000</v>
      </c>
      <c r="P38" s="1">
        <f>Financials!N47</f>
        <v>1500000</v>
      </c>
      <c r="Q38" s="1">
        <f>Financials!O47</f>
        <v>1200000</v>
      </c>
      <c r="R38" s="1">
        <f>Financials!P47</f>
        <v>900000</v>
      </c>
      <c r="S38" s="1">
        <f>Financials!Q47</f>
        <v>600000</v>
      </c>
      <c r="T38" s="1">
        <f>Financials!R47</f>
        <v>550000</v>
      </c>
      <c r="U38" s="1">
        <f>Financials!S47</f>
        <v>200000</v>
      </c>
      <c r="V38" s="57"/>
      <c r="Y38" s="862"/>
    </row>
    <row r="39" spans="1:26" s="48" customFormat="1" ht="14.15" customHeight="1" x14ac:dyDescent="0.35">
      <c r="B39" s="56"/>
      <c r="C39" s="50" t="s">
        <v>258</v>
      </c>
      <c r="E39" s="48" t="s">
        <v>17</v>
      </c>
      <c r="F39" s="674"/>
      <c r="G39" s="516">
        <v>0.02</v>
      </c>
      <c r="H39" s="57"/>
      <c r="J39" s="56"/>
      <c r="K39" s="505" t="s">
        <v>24</v>
      </c>
      <c r="L39" s="506" t="str">
        <f t="shared" si="17"/>
        <v>USD</v>
      </c>
      <c r="M39" s="507">
        <f>M38</f>
        <v>1900000</v>
      </c>
      <c r="N39" s="507">
        <f t="shared" ref="N39:U39" si="19">N38</f>
        <v>2000000</v>
      </c>
      <c r="O39" s="779">
        <f t="shared" si="19"/>
        <v>2250000</v>
      </c>
      <c r="P39" s="507">
        <f t="shared" si="19"/>
        <v>1500000</v>
      </c>
      <c r="Q39" s="507">
        <f t="shared" si="19"/>
        <v>1200000</v>
      </c>
      <c r="R39" s="507">
        <f t="shared" si="19"/>
        <v>900000</v>
      </c>
      <c r="S39" s="507">
        <f t="shared" si="19"/>
        <v>600000</v>
      </c>
      <c r="T39" s="507">
        <f t="shared" si="19"/>
        <v>550000</v>
      </c>
      <c r="U39" s="507">
        <f t="shared" si="19"/>
        <v>200000</v>
      </c>
      <c r="V39" s="57"/>
      <c r="Y39" s="862"/>
    </row>
    <row r="40" spans="1:26" s="48" customFormat="1" ht="14.15" customHeight="1" x14ac:dyDescent="0.35">
      <c r="B40" s="56"/>
      <c r="C40" s="50" t="s">
        <v>261</v>
      </c>
      <c r="E40" s="48" t="s">
        <v>17</v>
      </c>
      <c r="F40" s="674"/>
      <c r="G40" s="517">
        <v>1</v>
      </c>
      <c r="H40" s="57"/>
      <c r="J40" s="56"/>
      <c r="K40" s="58"/>
      <c r="O40" s="57"/>
      <c r="V40" s="57"/>
      <c r="Y40" s="861"/>
    </row>
    <row r="41" spans="1:26" s="48" customFormat="1" ht="14.15" customHeight="1" x14ac:dyDescent="0.35">
      <c r="B41" s="56"/>
      <c r="C41" s="48" t="s">
        <v>262</v>
      </c>
      <c r="E41" s="48" t="s">
        <v>14</v>
      </c>
      <c r="F41" s="674"/>
      <c r="G41" s="494">
        <f>IFERROR(G40*(1+G35/G34),0)</f>
        <v>1.5384615384615383</v>
      </c>
      <c r="H41" s="57"/>
      <c r="J41" s="56"/>
      <c r="K41" s="518" t="s">
        <v>27</v>
      </c>
      <c r="L41" s="513" t="str">
        <f t="shared" si="17"/>
        <v>USD</v>
      </c>
      <c r="M41" s="44">
        <f>SUM(M39,M36)</f>
        <v>3290000</v>
      </c>
      <c r="N41" s="44">
        <f t="shared" ref="N41:U41" si="20">SUM(N39,N36)</f>
        <v>3590000</v>
      </c>
      <c r="O41" s="782">
        <f t="shared" si="20"/>
        <v>3670000</v>
      </c>
      <c r="P41" s="44">
        <f t="shared" ca="1" si="20"/>
        <v>2667034.1780821919</v>
      </c>
      <c r="Q41" s="44">
        <f t="shared" ca="1" si="20"/>
        <v>2795211.639324408</v>
      </c>
      <c r="R41" s="44">
        <f t="shared" ca="1" si="20"/>
        <v>2952265.5356949167</v>
      </c>
      <c r="S41" s="44">
        <f t="shared" ca="1" si="20"/>
        <v>3147507.0019851723</v>
      </c>
      <c r="T41" s="44">
        <f t="shared" ca="1" si="20"/>
        <v>3349568.2757757064</v>
      </c>
      <c r="U41" s="44">
        <f t="shared" ca="1" si="20"/>
        <v>3516786.6935897251</v>
      </c>
      <c r="V41" s="57"/>
      <c r="Y41" s="862"/>
    </row>
    <row r="42" spans="1:26" s="48" customFormat="1" ht="14.15" customHeight="1" x14ac:dyDescent="0.35">
      <c r="B42" s="56"/>
      <c r="C42" s="48" t="s">
        <v>263</v>
      </c>
      <c r="E42" s="48" t="s">
        <v>17</v>
      </c>
      <c r="F42" s="674"/>
      <c r="G42" s="516">
        <v>0.06</v>
      </c>
      <c r="H42" s="57"/>
      <c r="J42" s="56"/>
      <c r="K42" s="58"/>
      <c r="O42" s="57"/>
      <c r="V42" s="57"/>
      <c r="Y42" s="862"/>
    </row>
    <row r="43" spans="1:26" s="48" customFormat="1" ht="14.15" customHeight="1" x14ac:dyDescent="0.35">
      <c r="B43" s="56"/>
      <c r="C43" s="48" t="s">
        <v>266</v>
      </c>
      <c r="E43" s="48" t="s">
        <v>17</v>
      </c>
      <c r="F43" s="674"/>
      <c r="G43" s="676">
        <f>G41*G42</f>
        <v>9.2307692307692299E-2</v>
      </c>
      <c r="H43" s="57"/>
      <c r="J43" s="56"/>
      <c r="K43" s="696" t="s">
        <v>283</v>
      </c>
      <c r="L43" s="494" t="str">
        <f t="shared" si="17"/>
        <v>USD</v>
      </c>
      <c r="M43" s="495">
        <v>0</v>
      </c>
      <c r="N43" s="495">
        <v>0</v>
      </c>
      <c r="O43" s="495">
        <v>0</v>
      </c>
      <c r="P43" s="776">
        <f>O43</f>
        <v>0</v>
      </c>
      <c r="Q43" s="708">
        <f>P43</f>
        <v>0</v>
      </c>
      <c r="R43" s="708">
        <f t="shared" ref="R43:U43" si="21">Q43</f>
        <v>0</v>
      </c>
      <c r="S43" s="708">
        <f t="shared" si="21"/>
        <v>0</v>
      </c>
      <c r="T43" s="708">
        <f t="shared" si="21"/>
        <v>0</v>
      </c>
      <c r="U43" s="708">
        <f t="shared" si="21"/>
        <v>0</v>
      </c>
      <c r="V43" s="57"/>
      <c r="Y43" s="862"/>
    </row>
    <row r="44" spans="1:26" s="48" customFormat="1" ht="14.15" customHeight="1" x14ac:dyDescent="0.35">
      <c r="B44" s="56"/>
      <c r="C44" s="48" t="s">
        <v>270</v>
      </c>
      <c r="E44" s="48" t="s">
        <v>17</v>
      </c>
      <c r="F44" s="674"/>
      <c r="G44" s="516">
        <v>0.02</v>
      </c>
      <c r="H44" s="57"/>
      <c r="J44" s="56"/>
      <c r="K44" s="696" t="s">
        <v>54</v>
      </c>
      <c r="L44" s="494" t="str">
        <f t="shared" si="17"/>
        <v>USD</v>
      </c>
      <c r="M44" s="495">
        <v>230000</v>
      </c>
      <c r="N44" s="495">
        <v>330000</v>
      </c>
      <c r="O44" s="495">
        <v>340000</v>
      </c>
      <c r="P44" s="1">
        <f ca="1">-Financials!N164</f>
        <v>144191.78082191781</v>
      </c>
      <c r="Q44" s="1">
        <f ca="1">-Financials!O164</f>
        <v>173606.90410958906</v>
      </c>
      <c r="R44" s="1">
        <f ca="1">-Financials!P164</f>
        <v>186117.51092896174</v>
      </c>
      <c r="S44" s="1">
        <f ca="1">-Financials!Q164</f>
        <v>192459.52885273972</v>
      </c>
      <c r="T44" s="1">
        <f ca="1">-Financials!R164</f>
        <v>202082.50529537676</v>
      </c>
      <c r="U44" s="1">
        <f ca="1">-Financials!S164</f>
        <v>212186.6305601456</v>
      </c>
      <c r="V44" s="57"/>
      <c r="Y44" s="862"/>
    </row>
    <row r="45" spans="1:26" s="48" customFormat="1" ht="14.15" customHeight="1" x14ac:dyDescent="0.35">
      <c r="B45" s="56"/>
      <c r="C45" s="105" t="s">
        <v>256</v>
      </c>
      <c r="D45" s="105"/>
      <c r="E45" s="48" t="s">
        <v>17</v>
      </c>
      <c r="F45" s="674"/>
      <c r="G45" s="677">
        <f>G44+G43+G39</f>
        <v>0.13230769230769229</v>
      </c>
      <c r="H45" s="57"/>
      <c r="J45" s="56"/>
      <c r="K45" s="696" t="s">
        <v>55</v>
      </c>
      <c r="L45" s="494" t="str">
        <f t="shared" si="17"/>
        <v>USD</v>
      </c>
      <c r="M45" s="495">
        <v>40000</v>
      </c>
      <c r="N45" s="495">
        <v>40000</v>
      </c>
      <c r="O45" s="495">
        <v>10000</v>
      </c>
      <c r="P45" s="1">
        <f>-Financials!N165</f>
        <v>13157.5</v>
      </c>
      <c r="Q45" s="1">
        <f>-Financials!O165</f>
        <v>15841.630000000003</v>
      </c>
      <c r="R45" s="1">
        <f>-Financials!P165</f>
        <v>17029.752250000001</v>
      </c>
      <c r="S45" s="1">
        <f>-Financials!Q165</f>
        <v>17561.932007812502</v>
      </c>
      <c r="T45" s="1">
        <f>-Financials!R165</f>
        <v>18440.028608203127</v>
      </c>
      <c r="U45" s="1">
        <f>-Financials!S165</f>
        <v>19362.030038613288</v>
      </c>
      <c r="V45" s="57"/>
      <c r="Y45" s="862"/>
      <c r="Z45" s="50"/>
    </row>
    <row r="46" spans="1:26" x14ac:dyDescent="0.35">
      <c r="A46" s="48"/>
      <c r="B46" s="56"/>
      <c r="C46" s="48"/>
      <c r="D46" s="674"/>
      <c r="E46" s="48"/>
      <c r="F46" s="674"/>
      <c r="G46" s="674"/>
      <c r="H46" s="57"/>
      <c r="I46" s="48"/>
      <c r="J46" s="56"/>
      <c r="K46" s="505" t="s">
        <v>284</v>
      </c>
      <c r="L46" s="506" t="str">
        <f t="shared" ref="L46" si="22">$G$14</f>
        <v>USD</v>
      </c>
      <c r="M46" s="507">
        <f>SUM(M43:M45)</f>
        <v>270000</v>
      </c>
      <c r="N46" s="507">
        <f t="shared" ref="N46:U46" si="23">SUM(N43:N45)</f>
        <v>370000</v>
      </c>
      <c r="O46" s="779">
        <f t="shared" si="23"/>
        <v>350000</v>
      </c>
      <c r="P46" s="507">
        <f t="shared" ca="1" si="23"/>
        <v>157349.28082191781</v>
      </c>
      <c r="Q46" s="507">
        <f t="shared" ca="1" si="23"/>
        <v>189448.53410958906</v>
      </c>
      <c r="R46" s="507">
        <f t="shared" ca="1" si="23"/>
        <v>203147.26317896173</v>
      </c>
      <c r="S46" s="507">
        <f t="shared" ca="1" si="23"/>
        <v>210021.46086055221</v>
      </c>
      <c r="T46" s="507">
        <f t="shared" ca="1" si="23"/>
        <v>220522.5339035799</v>
      </c>
      <c r="U46" s="507">
        <f t="shared" ca="1" si="23"/>
        <v>231548.6605987589</v>
      </c>
      <c r="V46" s="57"/>
      <c r="W46" s="48"/>
      <c r="X46" s="48"/>
    </row>
    <row r="47" spans="1:26" x14ac:dyDescent="0.35">
      <c r="A47" s="48"/>
      <c r="B47" s="56"/>
      <c r="C47" s="673" t="s">
        <v>257</v>
      </c>
      <c r="D47" s="48"/>
      <c r="E47" s="48"/>
      <c r="F47" s="674"/>
      <c r="G47" s="48"/>
      <c r="H47" s="57"/>
      <c r="I47" s="48"/>
      <c r="J47" s="56"/>
      <c r="K47" s="48"/>
      <c r="L47" s="48"/>
      <c r="M47" s="48"/>
      <c r="N47" s="48"/>
      <c r="O47" s="57"/>
      <c r="P47" s="48"/>
      <c r="Q47" s="48"/>
      <c r="R47" s="48"/>
      <c r="S47" s="48"/>
      <c r="T47" s="48"/>
      <c r="U47" s="48"/>
      <c r="V47" s="57"/>
      <c r="W47" s="48"/>
    </row>
    <row r="48" spans="1:26" collapsed="1" x14ac:dyDescent="0.35">
      <c r="A48" s="48"/>
      <c r="B48" s="56"/>
      <c r="C48" s="50" t="s">
        <v>264</v>
      </c>
      <c r="D48" s="48"/>
      <c r="E48" s="48" t="s">
        <v>17</v>
      </c>
      <c r="F48" s="674"/>
      <c r="G48" s="115">
        <f>G39</f>
        <v>0.02</v>
      </c>
      <c r="H48" s="57"/>
      <c r="I48" s="48"/>
      <c r="J48" s="56"/>
      <c r="K48" s="696" t="s">
        <v>285</v>
      </c>
      <c r="L48" s="494" t="str">
        <f t="shared" ref="L48:L49" si="24">$G$14</f>
        <v>USD</v>
      </c>
      <c r="M48" s="495">
        <v>0</v>
      </c>
      <c r="N48" s="495">
        <v>0</v>
      </c>
      <c r="O48" s="495">
        <v>0</v>
      </c>
      <c r="P48" s="776">
        <f>O48</f>
        <v>0</v>
      </c>
      <c r="Q48" s="708">
        <f>P48</f>
        <v>0</v>
      </c>
      <c r="R48" s="708">
        <f t="shared" ref="R48:U48" si="25">Q48</f>
        <v>0</v>
      </c>
      <c r="S48" s="708">
        <f t="shared" si="25"/>
        <v>0</v>
      </c>
      <c r="T48" s="708">
        <f t="shared" si="25"/>
        <v>0</v>
      </c>
      <c r="U48" s="708">
        <f t="shared" si="25"/>
        <v>0</v>
      </c>
      <c r="V48" s="57"/>
      <c r="Z48" s="51"/>
    </row>
    <row r="49" spans="2:25" x14ac:dyDescent="0.35">
      <c r="B49" s="56"/>
      <c r="C49" s="48" t="s">
        <v>265</v>
      </c>
      <c r="D49" s="48"/>
      <c r="E49" s="48" t="s">
        <v>17</v>
      </c>
      <c r="F49" s="674"/>
      <c r="G49" s="516">
        <v>0.03</v>
      </c>
      <c r="H49" s="57"/>
      <c r="I49" s="48"/>
      <c r="J49" s="56"/>
      <c r="K49" s="696" t="s">
        <v>16</v>
      </c>
      <c r="L49" s="494" t="str">
        <f t="shared" si="24"/>
        <v>USD</v>
      </c>
      <c r="M49" s="495">
        <v>1500000</v>
      </c>
      <c r="N49" s="495">
        <v>1650000</v>
      </c>
      <c r="O49" s="495">
        <v>2000000</v>
      </c>
      <c r="P49" s="776">
        <f>O49</f>
        <v>2000000</v>
      </c>
      <c r="Q49" s="67">
        <f t="shared" ref="Q49:U49" si="26">P49+Q59</f>
        <v>1700000</v>
      </c>
      <c r="R49" s="67">
        <f t="shared" si="26"/>
        <v>1400000</v>
      </c>
      <c r="S49" s="67">
        <f t="shared" si="26"/>
        <v>1100000</v>
      </c>
      <c r="T49" s="67">
        <f t="shared" si="26"/>
        <v>800000</v>
      </c>
      <c r="U49" s="67">
        <f t="shared" si="26"/>
        <v>500000</v>
      </c>
      <c r="V49" s="57"/>
      <c r="Y49" s="863"/>
    </row>
    <row r="50" spans="2:25" x14ac:dyDescent="0.35">
      <c r="B50" s="56"/>
      <c r="C50" s="48" t="s">
        <v>267</v>
      </c>
      <c r="D50" s="48"/>
      <c r="E50" s="48" t="s">
        <v>17</v>
      </c>
      <c r="F50" s="678"/>
      <c r="G50" s="115">
        <f>G48+G49</f>
        <v>0.05</v>
      </c>
      <c r="H50" s="57"/>
      <c r="I50" s="48"/>
      <c r="J50" s="56"/>
      <c r="K50" s="505" t="s">
        <v>286</v>
      </c>
      <c r="L50" s="506" t="str">
        <f t="shared" ref="L50" si="27">$G$14</f>
        <v>USD</v>
      </c>
      <c r="M50" s="507">
        <f>SUM(M48:M49)</f>
        <v>1500000</v>
      </c>
      <c r="N50" s="507">
        <f t="shared" ref="N50:U50" si="28">SUM(N48:N49)</f>
        <v>1650000</v>
      </c>
      <c r="O50" s="779">
        <f t="shared" si="28"/>
        <v>2000000</v>
      </c>
      <c r="P50" s="507">
        <f t="shared" si="28"/>
        <v>2000000</v>
      </c>
      <c r="Q50" s="507">
        <f t="shared" si="28"/>
        <v>1700000</v>
      </c>
      <c r="R50" s="507">
        <f t="shared" si="28"/>
        <v>1400000</v>
      </c>
      <c r="S50" s="507">
        <f t="shared" si="28"/>
        <v>1100000</v>
      </c>
      <c r="T50" s="507">
        <f t="shared" si="28"/>
        <v>800000</v>
      </c>
      <c r="U50" s="507">
        <f t="shared" si="28"/>
        <v>500000</v>
      </c>
      <c r="V50" s="57"/>
    </row>
    <row r="51" spans="2:25" x14ac:dyDescent="0.35">
      <c r="B51" s="56"/>
      <c r="C51" s="48" t="s">
        <v>268</v>
      </c>
      <c r="D51" s="48"/>
      <c r="E51" s="48" t="s">
        <v>17</v>
      </c>
      <c r="F51" s="674"/>
      <c r="G51" s="679">
        <f>G20</f>
        <v>0.25</v>
      </c>
      <c r="H51" s="57"/>
      <c r="I51" s="48"/>
      <c r="J51" s="56"/>
      <c r="K51" s="48"/>
      <c r="L51" s="48"/>
      <c r="M51" s="48"/>
      <c r="N51" s="48"/>
      <c r="O51" s="57"/>
      <c r="P51" s="48"/>
      <c r="Q51" s="48"/>
      <c r="R51" s="48"/>
      <c r="S51" s="48"/>
      <c r="T51" s="48"/>
      <c r="U51" s="48"/>
      <c r="V51" s="57"/>
    </row>
    <row r="52" spans="2:25" x14ac:dyDescent="0.35">
      <c r="B52" s="520"/>
      <c r="C52" s="105" t="s">
        <v>269</v>
      </c>
      <c r="D52" s="48"/>
      <c r="E52" s="48" t="s">
        <v>17</v>
      </c>
      <c r="G52" s="675">
        <f>G50*(1-G51)</f>
        <v>3.7500000000000006E-2</v>
      </c>
      <c r="H52" s="521"/>
      <c r="I52" s="48"/>
      <c r="J52" s="56"/>
      <c r="K52" s="726" t="s">
        <v>287</v>
      </c>
      <c r="L52" s="724" t="str">
        <f>$G$14</f>
        <v>USD</v>
      </c>
      <c r="M52" s="451">
        <f>M41-SUM(M46,M50)</f>
        <v>1520000</v>
      </c>
      <c r="N52" s="451">
        <f>N41-SUM(N46,N50)</f>
        <v>1570000</v>
      </c>
      <c r="O52" s="6">
        <f t="shared" ref="O52" si="29">O41-SUM(O46,O50)</f>
        <v>1320000</v>
      </c>
      <c r="P52" s="727">
        <f ca="1">Financials!N62</f>
        <v>509684.89726027427</v>
      </c>
      <c r="Q52" s="727">
        <f ca="1">Financials!O62</f>
        <v>905763.10521481954</v>
      </c>
      <c r="R52" s="727">
        <f ca="1">Financials!P62</f>
        <v>1349118.2725159556</v>
      </c>
      <c r="S52" s="727">
        <f ca="1">Financials!Q62</f>
        <v>1837485.54112462</v>
      </c>
      <c r="T52" s="727">
        <f ca="1">Financials!R62</f>
        <v>2329045.7418721272</v>
      </c>
      <c r="U52" s="727">
        <f ca="1">Financials!S62</f>
        <v>2785238.0329909665</v>
      </c>
      <c r="V52" s="57"/>
    </row>
    <row r="53" spans="2:25" x14ac:dyDescent="0.35">
      <c r="B53" s="520"/>
      <c r="E53" s="50"/>
      <c r="H53" s="521"/>
      <c r="I53" s="48"/>
      <c r="J53" s="56"/>
      <c r="K53" s="48"/>
      <c r="L53" s="48"/>
      <c r="M53" s="48"/>
      <c r="N53" s="48"/>
      <c r="O53" s="57"/>
      <c r="P53" s="48"/>
      <c r="Q53" s="48"/>
      <c r="R53" s="48"/>
      <c r="S53" s="48"/>
      <c r="T53" s="48"/>
      <c r="U53" s="48"/>
      <c r="V53" s="57"/>
    </row>
    <row r="54" spans="2:25" x14ac:dyDescent="0.35">
      <c r="B54" s="520"/>
      <c r="C54" s="522" t="s">
        <v>234</v>
      </c>
      <c r="D54" s="680"/>
      <c r="E54" s="523" t="s">
        <v>17</v>
      </c>
      <c r="F54" s="524"/>
      <c r="G54" s="681">
        <f>G45*G34+G52*G35</f>
        <v>9.9124999999999991E-2</v>
      </c>
      <c r="H54" s="521"/>
      <c r="I54" s="48"/>
      <c r="J54" s="56"/>
      <c r="K54" s="518" t="s">
        <v>31</v>
      </c>
      <c r="L54" s="519" t="str">
        <f>$G$14</f>
        <v>USD</v>
      </c>
      <c r="M54" s="70">
        <f>SUM(M52,M50,M46)</f>
        <v>3290000</v>
      </c>
      <c r="N54" s="70">
        <f t="shared" ref="N54:U54" si="30">SUM(N52,N50,N46)</f>
        <v>3590000</v>
      </c>
      <c r="O54" s="739">
        <f t="shared" si="30"/>
        <v>3670000</v>
      </c>
      <c r="P54" s="70">
        <f t="shared" ca="1" si="30"/>
        <v>2667034.1780821923</v>
      </c>
      <c r="Q54" s="70">
        <f t="shared" ca="1" si="30"/>
        <v>2795211.6393244085</v>
      </c>
      <c r="R54" s="70">
        <f t="shared" ca="1" si="30"/>
        <v>2952265.5356949172</v>
      </c>
      <c r="S54" s="70">
        <f t="shared" ca="1" si="30"/>
        <v>3147507.0019851723</v>
      </c>
      <c r="T54" s="70">
        <f t="shared" ca="1" si="30"/>
        <v>3349568.2757757069</v>
      </c>
      <c r="U54" s="70">
        <f t="shared" ca="1" si="30"/>
        <v>3516786.6935897255</v>
      </c>
      <c r="V54" s="57"/>
    </row>
    <row r="55" spans="2:25" x14ac:dyDescent="0.35">
      <c r="B55" s="525"/>
      <c r="C55" s="526"/>
      <c r="D55" s="526"/>
      <c r="E55" s="527"/>
      <c r="F55" s="526"/>
      <c r="G55" s="526"/>
      <c r="H55" s="528"/>
      <c r="I55" s="48"/>
      <c r="J55" s="56"/>
      <c r="K55" s="48"/>
      <c r="L55" s="48"/>
      <c r="M55" s="48"/>
      <c r="N55" s="48"/>
      <c r="O55" s="57"/>
      <c r="P55" s="48"/>
      <c r="Q55" s="48"/>
      <c r="R55" s="48"/>
      <c r="S55" s="48"/>
      <c r="T55" s="48"/>
      <c r="U55" s="48"/>
      <c r="V55" s="57"/>
    </row>
    <row r="56" spans="2:25" x14ac:dyDescent="0.35">
      <c r="I56" s="48"/>
      <c r="J56" s="56"/>
      <c r="K56" s="698" t="str">
        <f>Financials!C71</f>
        <v>Cash Flow Statement</v>
      </c>
      <c r="L56" s="698"/>
      <c r="M56" s="490"/>
      <c r="N56" s="490"/>
      <c r="O56" s="781"/>
      <c r="P56" s="490"/>
      <c r="Q56" s="490"/>
      <c r="R56" s="490"/>
      <c r="S56" s="490"/>
      <c r="T56" s="490"/>
      <c r="U56" s="490"/>
      <c r="V56" s="57"/>
    </row>
    <row r="57" spans="2:25" x14ac:dyDescent="0.35">
      <c r="B57" s="483"/>
      <c r="C57" s="484" t="s">
        <v>220</v>
      </c>
      <c r="D57" s="485"/>
      <c r="E57" s="486"/>
      <c r="F57" s="487"/>
      <c r="G57" s="487"/>
      <c r="H57" s="487"/>
      <c r="I57" s="48"/>
      <c r="J57" s="56"/>
      <c r="K57" s="48"/>
      <c r="L57" s="48"/>
      <c r="M57" s="48"/>
      <c r="N57" s="48"/>
      <c r="O57" s="57"/>
      <c r="P57" s="48"/>
      <c r="Q57" s="48"/>
      <c r="R57" s="48"/>
      <c r="S57" s="48"/>
      <c r="T57" s="48"/>
      <c r="U57" s="48"/>
      <c r="V57" s="57"/>
    </row>
    <row r="58" spans="2:25" x14ac:dyDescent="0.35">
      <c r="B58" s="56"/>
      <c r="C58" s="683"/>
      <c r="D58" s="529"/>
      <c r="E58" s="48"/>
      <c r="F58" s="48"/>
      <c r="G58" s="48"/>
      <c r="H58" s="57"/>
      <c r="I58" s="48"/>
      <c r="J58" s="56"/>
      <c r="K58" s="58" t="str">
        <f>"Change in "&amp;K38</f>
        <v>Change in Capital Expenditures</v>
      </c>
      <c r="L58" s="494" t="str">
        <f>$G$14</f>
        <v>USD</v>
      </c>
      <c r="M58" s="48"/>
      <c r="N58" s="48"/>
      <c r="O58" s="57"/>
      <c r="P58" s="778">
        <v>1500000</v>
      </c>
      <c r="Q58" s="495">
        <v>0</v>
      </c>
      <c r="R58" s="495">
        <v>0</v>
      </c>
      <c r="S58" s="495">
        <v>0</v>
      </c>
      <c r="T58" s="495">
        <v>250000</v>
      </c>
      <c r="U58" s="495">
        <v>0</v>
      </c>
      <c r="V58" s="57"/>
    </row>
    <row r="59" spans="2:25" x14ac:dyDescent="0.35">
      <c r="B59" s="56"/>
      <c r="C59" s="50" t="s">
        <v>155</v>
      </c>
      <c r="D59" s="48"/>
      <c r="E59" s="50" t="s">
        <v>15</v>
      </c>
      <c r="G59" s="667" t="s">
        <v>153</v>
      </c>
      <c r="H59" s="57"/>
      <c r="I59" s="48"/>
      <c r="J59" s="56"/>
      <c r="K59" s="58" t="str">
        <f>"Change in "&amp;K49</f>
        <v>Change in Financial Debt</v>
      </c>
      <c r="L59" s="494" t="str">
        <f>$G$14</f>
        <v>USD</v>
      </c>
      <c r="M59" s="496">
        <f>IFERROR(M49-L49,0)</f>
        <v>0</v>
      </c>
      <c r="N59" s="496">
        <f>IFERROR(N49-M49,0)</f>
        <v>150000</v>
      </c>
      <c r="O59" s="783">
        <f>IFERROR(O49-N49,0)</f>
        <v>350000</v>
      </c>
      <c r="P59" s="496">
        <f>IFERROR(P49-O49,0)</f>
        <v>0</v>
      </c>
      <c r="Q59" s="495">
        <v>-300000</v>
      </c>
      <c r="R59" s="495">
        <v>-300000</v>
      </c>
      <c r="S59" s="495">
        <v>-300000</v>
      </c>
      <c r="T59" s="495">
        <v>-300000</v>
      </c>
      <c r="U59" s="495">
        <v>-300000</v>
      </c>
      <c r="V59" s="57"/>
    </row>
    <row r="60" spans="2:25" x14ac:dyDescent="0.35">
      <c r="B60" s="56"/>
      <c r="C60" s="50" t="s">
        <v>234</v>
      </c>
      <c r="D60" s="48"/>
      <c r="E60" s="58" t="s">
        <v>17</v>
      </c>
      <c r="F60" s="48"/>
      <c r="G60" s="668">
        <f>G54</f>
        <v>9.9124999999999991E-2</v>
      </c>
      <c r="H60" s="57"/>
      <c r="I60" s="48"/>
      <c r="J60" s="60"/>
      <c r="K60" s="61"/>
      <c r="L60" s="61"/>
      <c r="M60" s="61"/>
      <c r="N60" s="61"/>
      <c r="O60" s="62"/>
      <c r="P60" s="61"/>
      <c r="Q60" s="61"/>
      <c r="R60" s="61"/>
      <c r="S60" s="61"/>
      <c r="T60" s="61"/>
      <c r="U60" s="61"/>
      <c r="V60" s="62"/>
    </row>
    <row r="61" spans="2:25" x14ac:dyDescent="0.35">
      <c r="B61" s="525"/>
      <c r="C61" s="526"/>
      <c r="D61" s="526"/>
      <c r="E61" s="526"/>
      <c r="F61" s="526"/>
      <c r="G61" s="526"/>
      <c r="H61" s="528"/>
      <c r="I61" s="48"/>
    </row>
    <row r="62" spans="2:25" x14ac:dyDescent="0.35">
      <c r="I62" s="48"/>
      <c r="J62" s="483"/>
      <c r="K62" s="484" t="s">
        <v>150</v>
      </c>
      <c r="L62" s="682"/>
      <c r="M62" s="682"/>
      <c r="N62" s="682"/>
      <c r="O62" s="682"/>
      <c r="P62" s="682"/>
      <c r="Q62" s="682"/>
      <c r="R62" s="682"/>
      <c r="S62" s="682"/>
      <c r="T62" s="682"/>
      <c r="U62" s="682"/>
      <c r="V62" s="682"/>
    </row>
    <row r="63" spans="2:25" x14ac:dyDescent="0.35">
      <c r="B63" s="483"/>
      <c r="C63" s="484" t="s">
        <v>139</v>
      </c>
      <c r="D63" s="485"/>
      <c r="E63" s="486"/>
      <c r="F63" s="487"/>
      <c r="G63" s="487"/>
      <c r="H63" s="487"/>
      <c r="I63" s="48"/>
      <c r="J63" s="520"/>
      <c r="V63" s="530"/>
    </row>
    <row r="64" spans="2:25" x14ac:dyDescent="0.35">
      <c r="B64" s="56"/>
      <c r="C64" s="683"/>
      <c r="D64" s="529"/>
      <c r="E64" s="48"/>
      <c r="F64" s="48"/>
      <c r="G64" s="48"/>
      <c r="H64" s="57"/>
      <c r="I64" s="48"/>
      <c r="J64" s="520"/>
      <c r="K64" s="531" t="s">
        <v>107</v>
      </c>
      <c r="M64" s="533" t="str">
        <f>"Terminal Value (Year "&amp;U8&amp;")"</f>
        <v>Terminal Value (Year 5)</v>
      </c>
      <c r="N64" s="532" t="s">
        <v>230</v>
      </c>
      <c r="O64" s="532"/>
      <c r="P64" s="532" t="s">
        <v>158</v>
      </c>
      <c r="Q64" s="532"/>
      <c r="R64" s="532"/>
      <c r="S64" s="532"/>
      <c r="T64" s="532"/>
      <c r="U64" s="532"/>
      <c r="V64" s="530"/>
    </row>
    <row r="65" spans="2:22" x14ac:dyDescent="0.35">
      <c r="B65" s="520"/>
      <c r="C65" s="480" t="s">
        <v>226</v>
      </c>
      <c r="D65" s="480"/>
      <c r="F65" s="48"/>
      <c r="G65" s="535">
        <f ca="1">Financials!X65</f>
        <v>0</v>
      </c>
      <c r="H65" s="521"/>
      <c r="I65" s="48"/>
      <c r="J65" s="520"/>
      <c r="M65" s="534" t="str">
        <f t="shared" ref="M65" si="31">$G$14</f>
        <v>USD</v>
      </c>
      <c r="N65" s="482"/>
      <c r="P65" s="482"/>
      <c r="Q65" s="482"/>
      <c r="V65" s="530"/>
    </row>
    <row r="66" spans="2:22" x14ac:dyDescent="0.35">
      <c r="B66" s="520"/>
      <c r="C66" s="480" t="s">
        <v>105</v>
      </c>
      <c r="F66" s="48"/>
      <c r="G66" s="535">
        <f ca="1">'Executive Summary'!Y3</f>
        <v>0</v>
      </c>
      <c r="H66" s="521"/>
      <c r="I66" s="48"/>
      <c r="J66" s="520"/>
      <c r="N66" s="482"/>
      <c r="P66" s="482"/>
      <c r="Q66" s="482"/>
      <c r="V66" s="530"/>
    </row>
    <row r="67" spans="2:22" x14ac:dyDescent="0.35">
      <c r="B67" s="520"/>
      <c r="C67" s="480" t="s">
        <v>29</v>
      </c>
      <c r="D67" s="480"/>
      <c r="F67" s="48"/>
      <c r="G67" s="535">
        <f>Y3</f>
        <v>0</v>
      </c>
      <c r="H67" s="521"/>
      <c r="I67" s="48"/>
      <c r="J67" s="520"/>
      <c r="K67" s="696" t="s">
        <v>151</v>
      </c>
      <c r="M67" s="622">
        <f>'Terminal Value'!H126</f>
        <v>6697510.9510911852</v>
      </c>
      <c r="N67" s="684" t="str">
        <f ca="1">HYPERLINK("#"&amp;CELL("address",'Terminal Value'!$H$18),"=&gt; "&amp;'Terminal Value'!$C$7)</f>
        <v>=&gt; Capitalized Earnings</v>
      </c>
      <c r="P67" s="10" t="s">
        <v>157</v>
      </c>
      <c r="Q67" s="10"/>
      <c r="V67" s="530"/>
    </row>
    <row r="68" spans="2:22" x14ac:dyDescent="0.35">
      <c r="B68" s="520"/>
      <c r="C68" s="480" t="s">
        <v>140</v>
      </c>
      <c r="F68" s="48"/>
      <c r="G68" s="535">
        <f ca="1">Financials!X3</f>
        <v>0</v>
      </c>
      <c r="H68" s="521"/>
      <c r="I68" s="48"/>
      <c r="J68" s="520"/>
      <c r="K68" s="696" t="s">
        <v>152</v>
      </c>
      <c r="M68" s="622">
        <f ca="1">'Terminal Value'!H127</f>
        <v>13663519.4283383</v>
      </c>
      <c r="N68" s="684" t="str">
        <f ca="1">HYPERLINK("#"&amp;CELL("address",'Terminal Value'!$H$37),"=&gt; "&amp;'Terminal Value'!$C$24)</f>
        <v>=&gt; Gordon Growth</v>
      </c>
      <c r="P68" s="10" t="s">
        <v>170</v>
      </c>
      <c r="Q68" s="10"/>
      <c r="V68" s="530"/>
    </row>
    <row r="69" spans="2:22" x14ac:dyDescent="0.35">
      <c r="B69" s="520"/>
      <c r="C69" s="480" t="s">
        <v>141</v>
      </c>
      <c r="F69" s="48"/>
      <c r="G69" s="535">
        <f ca="1">DCF!U3</f>
        <v>0</v>
      </c>
      <c r="H69" s="521"/>
      <c r="J69" s="520"/>
      <c r="K69" s="696" t="s">
        <v>171</v>
      </c>
      <c r="M69" s="622">
        <f ca="1">'Terminal Value'!H128</f>
        <v>16867483.058766715</v>
      </c>
      <c r="N69" s="684" t="str">
        <f ca="1">HYPERLINK("#"&amp;CELL("address",'Terminal Value'!$G$64),"=&gt; "&amp;'Terminal Value'!$C$43)</f>
        <v>=&gt; H-Model</v>
      </c>
      <c r="P69" s="10" t="s">
        <v>272</v>
      </c>
      <c r="Q69" s="10"/>
      <c r="V69" s="530"/>
    </row>
    <row r="70" spans="2:22" x14ac:dyDescent="0.35">
      <c r="B70" s="520"/>
      <c r="C70" s="480" t="s">
        <v>8</v>
      </c>
      <c r="F70" s="48"/>
      <c r="G70" s="535">
        <f ca="1">'Terminal Value'!U3</f>
        <v>0</v>
      </c>
      <c r="H70" s="521"/>
      <c r="J70" s="520"/>
      <c r="K70" s="492" t="str">
        <f>C95&amp;" ("&amp;FIXED(G95,1)&amp;"x)"</f>
        <v>EV/Revenue Exit Multiple (2.5x)</v>
      </c>
      <c r="M70" s="622">
        <f>'Terminal Value'!H129</f>
        <v>17601845.489648439</v>
      </c>
      <c r="N70" s="684" t="str">
        <f ca="1">HYPERLINK("#"&amp;CELL("address",'Terminal Value'!$O$74),"=&gt; "&amp;'Terminal Value'!$C$74)</f>
        <v>=&gt; EV/Revenue Exit Multiple</v>
      </c>
      <c r="P70" s="10" t="s">
        <v>172</v>
      </c>
      <c r="Q70" s="10"/>
      <c r="V70" s="530"/>
    </row>
    <row r="71" spans="2:22" x14ac:dyDescent="0.35">
      <c r="B71" s="520"/>
      <c r="C71" s="480" t="s">
        <v>233</v>
      </c>
      <c r="F71" s="48"/>
      <c r="G71" s="535">
        <f>'Terminal Value'!U4</f>
        <v>0</v>
      </c>
      <c r="H71" s="521"/>
      <c r="J71" s="520"/>
      <c r="K71" s="492" t="str">
        <f>C96&amp;" ("&amp;FIXED(G96,1)&amp;"x)"</f>
        <v>EV/EBITDA Exit Multiple (6.0x)</v>
      </c>
      <c r="M71" s="622">
        <f>'Terminal Value'!H130</f>
        <v>7411126.1842153091</v>
      </c>
      <c r="N71" s="684" t="str">
        <f ca="1">HYPERLINK("#"&amp;CELL("address",'Terminal Value'!$O$75),"=&gt; "&amp;'Terminal Value'!$C$75)</f>
        <v>=&gt; EV/EBITDA Exit Multiple</v>
      </c>
      <c r="P71" s="10" t="s">
        <v>172</v>
      </c>
      <c r="Q71" s="10"/>
      <c r="V71" s="530"/>
    </row>
    <row r="72" spans="2:22" x14ac:dyDescent="0.35">
      <c r="B72" s="60"/>
      <c r="C72" s="61"/>
      <c r="D72" s="61"/>
      <c r="E72" s="61"/>
      <c r="F72" s="61"/>
      <c r="G72" s="61"/>
      <c r="H72" s="536"/>
      <c r="J72" s="520"/>
      <c r="K72" s="492" t="str">
        <f>C97&amp;" ("&amp;FIXED(G97,1)&amp;"x)"</f>
        <v>EV/EBIT Exit Multiple (7.0x)</v>
      </c>
      <c r="M72" s="622">
        <f>'Terminal Value'!H131</f>
        <v>6196313.881584527</v>
      </c>
      <c r="N72" s="684" t="str">
        <f ca="1">HYPERLINK("#"&amp;CELL("address",'Terminal Value'!$O$76),"=&gt; "&amp;'Terminal Value'!$C$76)</f>
        <v>=&gt; EV/EBIT Exit Multiple</v>
      </c>
      <c r="P72" s="10" t="s">
        <v>172</v>
      </c>
      <c r="Q72" s="10"/>
      <c r="U72" s="48"/>
      <c r="V72" s="530"/>
    </row>
    <row r="73" spans="2:22" x14ac:dyDescent="0.35">
      <c r="B73" s="48"/>
      <c r="C73" s="48"/>
      <c r="D73" s="48"/>
      <c r="E73" s="48"/>
      <c r="F73" s="48"/>
      <c r="G73" s="48"/>
      <c r="H73" s="535"/>
      <c r="J73" s="520"/>
      <c r="K73" s="492" t="str">
        <f>C98&amp;" ("&amp;FIXED(G98,1)&amp;"x)"</f>
        <v>P/E Exit Multiple (5.0x)</v>
      </c>
      <c r="M73" s="622">
        <f ca="1">'Terminal Value'!H132</f>
        <v>1214764.1460628277</v>
      </c>
      <c r="N73" s="684" t="str">
        <f ca="1">HYPERLINK("#"&amp;CELL("address",'Terminal Value'!$O$77),"=&gt; "&amp;'Terminal Value'!$C$77)</f>
        <v>=&gt; P/E Exit Multiple</v>
      </c>
      <c r="P73" s="10" t="s">
        <v>172</v>
      </c>
      <c r="Q73" s="10"/>
      <c r="U73" s="48"/>
      <c r="V73" s="530"/>
    </row>
    <row r="74" spans="2:22" x14ac:dyDescent="0.35">
      <c r="J74" s="520"/>
      <c r="K74" s="492" t="str">
        <f>C99&amp;" ("&amp;FIXED(G99,1)&amp;"x)"</f>
        <v>P/B Exit Multiple (2.0x)</v>
      </c>
      <c r="M74" s="622">
        <f ca="1">'Terminal Value'!H133</f>
        <v>3526723.8469101926</v>
      </c>
      <c r="N74" s="684" t="str">
        <f ca="1">HYPERLINK("#"&amp;CELL("address",'Terminal Value'!$O$78),"=&gt; "&amp;'Terminal Value'!$C$78)</f>
        <v>=&gt; P/B Exit Multiple</v>
      </c>
      <c r="P74" s="10" t="s">
        <v>172</v>
      </c>
      <c r="Q74" s="10"/>
      <c r="U74" s="48"/>
      <c r="V74" s="530"/>
    </row>
    <row r="75" spans="2:22" x14ac:dyDescent="0.35">
      <c r="J75" s="520"/>
      <c r="K75" s="696" t="s">
        <v>241</v>
      </c>
      <c r="M75" s="622">
        <f ca="1">'Terminal Value'!H134</f>
        <v>965088.17593289493</v>
      </c>
      <c r="N75" s="684" t="str">
        <f ca="1">HYPERLINK("#"&amp;CELL("address",'Terminal Value'!$G$106),"=&gt; "&amp;'Terminal Value'!$C$84)</f>
        <v>=&gt; One Stage Value Driver</v>
      </c>
      <c r="P75" s="10" t="s">
        <v>205</v>
      </c>
      <c r="Q75" s="10"/>
      <c r="U75" s="48"/>
      <c r="V75" s="530"/>
    </row>
    <row r="76" spans="2:22" x14ac:dyDescent="0.35">
      <c r="J76" s="520"/>
      <c r="K76" s="696" t="s">
        <v>156</v>
      </c>
      <c r="M76" s="622">
        <f ca="1">'Terminal Value'!H135</f>
        <v>4379465.0854245424</v>
      </c>
      <c r="N76" s="685" t="str">
        <f ca="1">HYPERLINK("#"&amp;CELL("address",'Two Stage Value Driver Model'!$R$47),"=&gt; "&amp;'Two Stage Value Driver Model'!$C$7)</f>
        <v>=&gt; Two Stage Value Driver</v>
      </c>
      <c r="P76" s="10" t="s">
        <v>222</v>
      </c>
      <c r="Q76" s="10"/>
      <c r="U76" s="48"/>
      <c r="V76" s="530"/>
    </row>
    <row r="77" spans="2:22" x14ac:dyDescent="0.35">
      <c r="J77" s="60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2"/>
    </row>
    <row r="79" spans="2:22" x14ac:dyDescent="0.35">
      <c r="B79" s="483"/>
      <c r="C79" s="484" t="s">
        <v>228</v>
      </c>
      <c r="D79" s="485"/>
      <c r="E79" s="486"/>
      <c r="F79" s="487"/>
      <c r="G79" s="487"/>
      <c r="H79" s="487"/>
      <c r="I79" s="682"/>
      <c r="J79" s="682"/>
      <c r="K79" s="682"/>
      <c r="L79" s="682"/>
      <c r="M79" s="682"/>
      <c r="N79" s="682"/>
      <c r="O79" s="682"/>
      <c r="P79" s="682"/>
      <c r="Q79" s="682"/>
      <c r="R79" s="537" t="s">
        <v>221</v>
      </c>
      <c r="S79" s="538"/>
      <c r="T79" s="539"/>
      <c r="U79" s="682"/>
      <c r="V79" s="682"/>
    </row>
    <row r="80" spans="2:22" x14ac:dyDescent="0.35">
      <c r="B80" s="520"/>
      <c r="C80" s="130"/>
      <c r="I80" s="48"/>
      <c r="V80" s="530"/>
    </row>
    <row r="81" spans="2:26" x14ac:dyDescent="0.35">
      <c r="B81" s="520"/>
      <c r="C81" s="130" t="str">
        <f>K67</f>
        <v>Capitalized Earnings</v>
      </c>
      <c r="E81" s="50"/>
      <c r="K81" s="130" t="str">
        <f>K75</f>
        <v>One Stage Value Driver</v>
      </c>
      <c r="N81" s="48"/>
      <c r="R81" s="130" t="s">
        <v>12</v>
      </c>
      <c r="V81" s="530"/>
    </row>
    <row r="82" spans="2:26" x14ac:dyDescent="0.35">
      <c r="B82" s="520"/>
      <c r="C82" s="482" t="s">
        <v>164</v>
      </c>
      <c r="E82" s="58" t="s">
        <v>17</v>
      </c>
      <c r="G82" s="540">
        <f>G60</f>
        <v>9.9124999999999991E-2</v>
      </c>
      <c r="K82" s="482" t="s">
        <v>22</v>
      </c>
      <c r="L82" s="50" t="s">
        <v>17</v>
      </c>
      <c r="M82" s="540">
        <f>$G$60</f>
        <v>9.9124999999999991E-2</v>
      </c>
      <c r="R82" s="119" t="s">
        <v>153</v>
      </c>
      <c r="S82" s="120"/>
      <c r="T82" s="50">
        <v>0.5</v>
      </c>
      <c r="V82" s="530"/>
    </row>
    <row r="83" spans="2:26" x14ac:dyDescent="0.35">
      <c r="B83" s="520"/>
      <c r="K83" s="50" t="s">
        <v>215</v>
      </c>
      <c r="L83" s="50" t="s">
        <v>17</v>
      </c>
      <c r="M83" s="516">
        <v>0.02</v>
      </c>
      <c r="R83" s="541" t="s">
        <v>154</v>
      </c>
      <c r="S83" s="120"/>
      <c r="T83" s="542">
        <v>1</v>
      </c>
      <c r="V83" s="530"/>
    </row>
    <row r="84" spans="2:26" x14ac:dyDescent="0.35">
      <c r="B84" s="520"/>
      <c r="C84" s="130" t="str">
        <f>K68</f>
        <v>Gordon Growth</v>
      </c>
      <c r="E84" s="540"/>
      <c r="K84" s="50" t="s">
        <v>108</v>
      </c>
      <c r="L84" s="50" t="s">
        <v>17</v>
      </c>
      <c r="M84" s="543">
        <f>M82+M83</f>
        <v>0.11912499999999999</v>
      </c>
      <c r="R84" s="48"/>
      <c r="S84" s="48"/>
      <c r="T84" s="48"/>
      <c r="V84" s="530"/>
    </row>
    <row r="85" spans="2:26" x14ac:dyDescent="0.35">
      <c r="B85" s="520"/>
      <c r="C85" s="482" t="s">
        <v>22</v>
      </c>
      <c r="E85" s="50" t="s">
        <v>17</v>
      </c>
      <c r="G85" s="540">
        <f>$G$60</f>
        <v>9.9124999999999991E-2</v>
      </c>
      <c r="K85" s="50" t="s">
        <v>147</v>
      </c>
      <c r="L85" s="50" t="s">
        <v>17</v>
      </c>
      <c r="M85" s="544">
        <f>G$86</f>
        <v>2.5000000000000001E-2</v>
      </c>
      <c r="R85" s="130" t="s">
        <v>227</v>
      </c>
      <c r="T85" s="482"/>
      <c r="V85" s="530"/>
    </row>
    <row r="86" spans="2:26" x14ac:dyDescent="0.35">
      <c r="B86" s="520"/>
      <c r="C86" s="50" t="s">
        <v>147</v>
      </c>
      <c r="E86" s="50" t="s">
        <v>17</v>
      </c>
      <c r="G86" s="516">
        <v>2.5000000000000001E-2</v>
      </c>
      <c r="R86" s="119" t="s">
        <v>184</v>
      </c>
      <c r="S86" s="120"/>
      <c r="T86" s="48"/>
      <c r="V86" s="530"/>
    </row>
    <row r="87" spans="2:26" x14ac:dyDescent="0.35">
      <c r="B87" s="520"/>
      <c r="E87" s="50"/>
      <c r="K87" s="130" t="str">
        <f>K76</f>
        <v>Two Stage Value Driver</v>
      </c>
      <c r="R87" s="119" t="s">
        <v>185</v>
      </c>
      <c r="S87" s="120"/>
      <c r="T87" s="48"/>
      <c r="V87" s="530"/>
    </row>
    <row r="88" spans="2:26" x14ac:dyDescent="0.35">
      <c r="B88" s="520"/>
      <c r="C88" s="130" t="str">
        <f>K69</f>
        <v>H-Model</v>
      </c>
      <c r="E88" s="50"/>
      <c r="K88" s="527" t="s">
        <v>213</v>
      </c>
      <c r="L88" s="526"/>
      <c r="M88" s="545" t="s">
        <v>211</v>
      </c>
      <c r="N88" s="545"/>
      <c r="O88" s="545" t="s">
        <v>212</v>
      </c>
      <c r="R88" s="119" t="s">
        <v>216</v>
      </c>
      <c r="S88" s="120"/>
      <c r="U88" s="48"/>
      <c r="V88" s="530"/>
    </row>
    <row r="89" spans="2:26" x14ac:dyDescent="0.35">
      <c r="B89" s="520"/>
      <c r="C89" s="50" t="s">
        <v>166</v>
      </c>
      <c r="E89" s="50" t="s">
        <v>17</v>
      </c>
      <c r="G89" s="516">
        <v>0.06</v>
      </c>
      <c r="K89" s="482"/>
      <c r="M89" s="546"/>
      <c r="O89" s="546"/>
      <c r="R89" s="48"/>
      <c r="S89" s="48"/>
      <c r="T89" s="48"/>
      <c r="U89" s="48"/>
      <c r="V89" s="530"/>
    </row>
    <row r="90" spans="2:26" x14ac:dyDescent="0.35">
      <c r="B90" s="520"/>
      <c r="C90" s="482" t="s">
        <v>165</v>
      </c>
      <c r="E90" s="50" t="s">
        <v>17</v>
      </c>
      <c r="G90" s="516">
        <v>0.03</v>
      </c>
      <c r="K90" s="130" t="s">
        <v>238</v>
      </c>
      <c r="U90" s="48"/>
      <c r="V90" s="530"/>
    </row>
    <row r="91" spans="2:26" x14ac:dyDescent="0.35">
      <c r="B91" s="520"/>
      <c r="C91" s="482" t="s">
        <v>167</v>
      </c>
      <c r="E91" s="50" t="s">
        <v>15</v>
      </c>
      <c r="G91" s="495">
        <v>10</v>
      </c>
      <c r="K91" s="482" t="s">
        <v>162</v>
      </c>
      <c r="L91" s="50" t="s">
        <v>15</v>
      </c>
      <c r="M91" s="495">
        <v>15</v>
      </c>
      <c r="O91" s="546" t="s">
        <v>214</v>
      </c>
      <c r="R91" s="105" t="s">
        <v>273</v>
      </c>
      <c r="S91" s="48"/>
      <c r="T91" s="48"/>
      <c r="U91" s="48"/>
      <c r="V91" s="530"/>
    </row>
    <row r="92" spans="2:26" x14ac:dyDescent="0.35">
      <c r="B92" s="520"/>
      <c r="E92" s="50"/>
      <c r="K92" s="482" t="s">
        <v>217</v>
      </c>
      <c r="L92" s="50" t="s">
        <v>46</v>
      </c>
      <c r="M92" s="547">
        <v>6</v>
      </c>
      <c r="O92" s="548">
        <f>M92+M91</f>
        <v>21</v>
      </c>
      <c r="R92" s="637" t="str">
        <f ca="1">HYPERLINK("#"&amp;CELL("address",Terms!$F$21),"Terms and Abbreviationss")</f>
        <v>Terms and Abbreviationss</v>
      </c>
      <c r="U92" s="48"/>
      <c r="V92" s="530"/>
    </row>
    <row r="93" spans="2:26" x14ac:dyDescent="0.35">
      <c r="B93" s="520"/>
      <c r="C93" s="130" t="str">
        <f>G94&amp;"s"</f>
        <v>Exit Multiples</v>
      </c>
      <c r="E93" s="50"/>
      <c r="G93" s="48"/>
      <c r="K93" s="482" t="s">
        <v>218</v>
      </c>
      <c r="L93" s="50" t="s">
        <v>46</v>
      </c>
      <c r="M93" s="547">
        <f>M92+M91-1</f>
        <v>20</v>
      </c>
      <c r="O93" s="546" t="s">
        <v>219</v>
      </c>
      <c r="R93" s="637" t="str">
        <f ca="1">HYPERLINK("#"&amp;CELL("address",'Executive Summary'!$F$10),"Executive Summary")</f>
        <v>Executive Summary</v>
      </c>
      <c r="U93" s="48"/>
      <c r="V93" s="530"/>
    </row>
    <row r="94" spans="2:26" x14ac:dyDescent="0.35">
      <c r="B94" s="520"/>
      <c r="C94" s="50" t="s">
        <v>229</v>
      </c>
      <c r="E94" s="48"/>
      <c r="G94" s="549" t="s">
        <v>99</v>
      </c>
      <c r="K94" s="482" t="s">
        <v>22</v>
      </c>
      <c r="L94" s="50" t="s">
        <v>17</v>
      </c>
      <c r="M94" s="540">
        <f>$G$60</f>
        <v>9.9124999999999991E-2</v>
      </c>
      <c r="O94" s="540">
        <f>M94</f>
        <v>9.9124999999999991E-2</v>
      </c>
      <c r="R94" s="637" t="str">
        <f ca="1">HYPERLINK("#"&amp;CELL("address",Assumptions!$G$14),"Assumptions")</f>
        <v>Assumptions</v>
      </c>
      <c r="U94" s="48"/>
      <c r="V94" s="530"/>
      <c r="Z94" s="51"/>
    </row>
    <row r="95" spans="2:26" collapsed="1" x14ac:dyDescent="0.35">
      <c r="B95" s="520"/>
      <c r="C95" s="50" t="str">
        <f>"EV/Revenue "&amp;$G$94</f>
        <v>EV/Revenue Exit Multiple</v>
      </c>
      <c r="E95" s="550" t="s">
        <v>14</v>
      </c>
      <c r="G95" s="517">
        <v>2.5</v>
      </c>
      <c r="R95" s="637" t="str">
        <f ca="1">HYPERLINK("#"&amp;CELL("address",Financials!$K$31),"Financials")</f>
        <v>Financials</v>
      </c>
      <c r="U95" s="48"/>
      <c r="V95" s="530"/>
      <c r="Y95" s="863"/>
      <c r="Z95" s="51"/>
    </row>
    <row r="96" spans="2:26" x14ac:dyDescent="0.35">
      <c r="B96" s="520"/>
      <c r="C96" s="50" t="str">
        <f>"EV/EBITDA "&amp;$G$94</f>
        <v>EV/EBITDA Exit Multiple</v>
      </c>
      <c r="E96" s="550" t="s">
        <v>14</v>
      </c>
      <c r="G96" s="517">
        <v>6</v>
      </c>
      <c r="K96" s="130" t="s">
        <v>237</v>
      </c>
      <c r="R96" s="637" t="str">
        <f ca="1">HYPERLINK("#"&amp;CELL("address",DCF!$M$51),"DCF")</f>
        <v>DCF</v>
      </c>
      <c r="U96" s="48"/>
      <c r="V96" s="530"/>
      <c r="Y96" s="863"/>
      <c r="Z96" s="51"/>
    </row>
    <row r="97" spans="2:25" x14ac:dyDescent="0.35">
      <c r="B97" s="520"/>
      <c r="C97" s="50" t="str">
        <f>"EV/EBIT "&amp;$G$94</f>
        <v>EV/EBIT Exit Multiple</v>
      </c>
      <c r="E97" s="550" t="s">
        <v>14</v>
      </c>
      <c r="G97" s="517">
        <v>7</v>
      </c>
      <c r="K97" s="50" t="s">
        <v>147</v>
      </c>
      <c r="L97" s="50" t="s">
        <v>17</v>
      </c>
      <c r="M97" s="516">
        <v>2.5000000000000001E-2</v>
      </c>
      <c r="O97" s="544">
        <f>G86</f>
        <v>2.5000000000000001E-2</v>
      </c>
      <c r="R97" s="637" t="str">
        <f ca="1">HYPERLINK("#"&amp;CELL("address",'Terminal Value'!$H$138),"Terminal Value")</f>
        <v>Terminal Value</v>
      </c>
      <c r="U97" s="48"/>
      <c r="V97" s="530"/>
      <c r="Y97" s="863"/>
    </row>
    <row r="98" spans="2:25" x14ac:dyDescent="0.35">
      <c r="B98" s="520"/>
      <c r="C98" s="48" t="str">
        <f>"P/E "&amp;$G$94</f>
        <v>P/E Exit Multiple</v>
      </c>
      <c r="E98" s="550" t="s">
        <v>14</v>
      </c>
      <c r="G98" s="517">
        <v>5</v>
      </c>
      <c r="K98" s="50" t="s">
        <v>215</v>
      </c>
      <c r="L98" s="50" t="s">
        <v>17</v>
      </c>
      <c r="M98" s="652">
        <f ca="1">M99-M94</f>
        <v>0.63559799654983762</v>
      </c>
      <c r="O98" s="516">
        <v>0</v>
      </c>
      <c r="R98" s="637" t="str">
        <f ca="1">HYPERLINK("#"&amp;CELL("address",'Two Stage Value Driver Model'!$R$47),"Two Stage Value Driver Model")</f>
        <v>Two Stage Value Driver Model</v>
      </c>
      <c r="U98" s="48"/>
      <c r="V98" s="530"/>
    </row>
    <row r="99" spans="2:25" x14ac:dyDescent="0.35">
      <c r="B99" s="520"/>
      <c r="C99" s="48" t="str">
        <f>"P/B "&amp;$G$94</f>
        <v>P/B Exit Multiple</v>
      </c>
      <c r="E99" s="550" t="s">
        <v>14</v>
      </c>
      <c r="G99" s="517">
        <v>2</v>
      </c>
      <c r="K99" s="482" t="s">
        <v>108</v>
      </c>
      <c r="L99" s="50" t="s">
        <v>17</v>
      </c>
      <c r="M99" s="544">
        <f ca="1">'Two Stage Value Driver Model'!R15</f>
        <v>0.73472299654983764</v>
      </c>
      <c r="O99" s="551">
        <f>O94+O98</f>
        <v>9.9124999999999991E-2</v>
      </c>
      <c r="R99" s="638"/>
      <c r="U99" s="48"/>
      <c r="V99" s="530"/>
    </row>
    <row r="100" spans="2:25" x14ac:dyDescent="0.35">
      <c r="B100" s="520"/>
      <c r="C100" s="48"/>
      <c r="E100" s="550"/>
      <c r="F100" s="550"/>
      <c r="G100" s="550"/>
      <c r="H100" s="550"/>
      <c r="K100" s="50" t="s">
        <v>276</v>
      </c>
      <c r="L100" s="50" t="s">
        <v>17</v>
      </c>
      <c r="M100" s="552" t="str">
        <f>'Two Stage Value Driver Model'!H15</f>
        <v>Exponential Decline</v>
      </c>
      <c r="U100" s="48"/>
      <c r="V100" s="530"/>
    </row>
    <row r="101" spans="2:25" x14ac:dyDescent="0.35">
      <c r="B101" s="525"/>
      <c r="C101" s="526"/>
      <c r="D101" s="526"/>
      <c r="E101" s="527"/>
      <c r="F101" s="526"/>
      <c r="G101" s="526"/>
      <c r="H101" s="526"/>
      <c r="I101" s="526"/>
      <c r="J101" s="526"/>
      <c r="K101" s="526"/>
      <c r="L101" s="526"/>
      <c r="M101" s="526"/>
      <c r="N101" s="526"/>
      <c r="O101" s="526"/>
      <c r="P101" s="61"/>
      <c r="Q101" s="61"/>
      <c r="R101" s="553"/>
      <c r="S101" s="554"/>
      <c r="T101" s="61"/>
      <c r="U101" s="61"/>
      <c r="V101" s="536"/>
    </row>
    <row r="102" spans="2:25" x14ac:dyDescent="0.35">
      <c r="P102" s="48"/>
      <c r="Q102" s="48"/>
      <c r="R102" s="480"/>
      <c r="S102" s="535"/>
      <c r="T102" s="48"/>
      <c r="U102" s="48"/>
      <c r="V102" s="535"/>
    </row>
    <row r="103" spans="2:25" x14ac:dyDescent="0.35">
      <c r="P103" s="48"/>
      <c r="Q103" s="48"/>
      <c r="R103" s="480"/>
      <c r="S103" s="535"/>
      <c r="T103" s="48"/>
      <c r="U103" s="48"/>
      <c r="V103" s="535"/>
    </row>
    <row r="105" spans="2:25" x14ac:dyDescent="0.35">
      <c r="B105" s="107" t="e">
        <f>Title!#REF!</f>
        <v>#REF!</v>
      </c>
    </row>
    <row r="106" spans="2:25" x14ac:dyDescent="0.35">
      <c r="B106" s="479" t="e">
        <f>Title!#REF!</f>
        <v>#REF!</v>
      </c>
    </row>
  </sheetData>
  <mergeCells count="2">
    <mergeCell ref="E9:G9"/>
    <mergeCell ref="E10:G10"/>
  </mergeCells>
  <dataValidations disablePrompts="1" count="1">
    <dataValidation type="list" allowBlank="1" showInputMessage="1" showErrorMessage="1" sqref="G59" xr:uid="{F685EC71-0834-DD4F-B32F-98FA2D4057DB}">
      <formula1>$R$82:$R$83</formula1>
    </dataValidation>
  </dataValidations>
  <hyperlinks>
    <hyperlink ref="B106" r:id="rId1" display="www.efinancialmodels.com" xr:uid="{407DE865-B08C-3148-B1CE-57917FC28E9C}"/>
  </hyperlinks>
  <printOptions horizontalCentered="1"/>
  <pageMargins left="0.59" right="0.59" top="1" bottom="1" header="0.5" footer="0.5"/>
  <pageSetup paperSize="9" scale="40" fitToHeight="0" orientation="portrait" horizontalDpi="4294967292" verticalDpi="4294967292" r:id="rId2"/>
  <headerFooter>
    <oddFooter>&amp;L&amp;"Calibri,Regular"&amp;K000000Strictly private and confidential&amp;C&amp;"Calibri,Regular"&amp;K000000&amp;P / &amp;D&amp;R&amp;"Calibri,Regular"&amp;K000000&amp;F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74E4-62F0-4F22-8736-55A0EEF0D253}">
  <sheetPr>
    <tabColor rgb="FF258A6E"/>
    <pageSetUpPr fitToPage="1"/>
  </sheetPr>
  <dimension ref="A1:Y238"/>
  <sheetViews>
    <sheetView showGridLines="0" zoomScale="89" zoomScaleNormal="85" zoomScaleSheetLayoutView="55" workbookViewId="0">
      <pane xSplit="7" ySplit="8" topLeftCell="H130" activePane="bottomRight" state="frozen"/>
      <selection activeCell="C12" sqref="A1:XFD1048576"/>
      <selection pane="topRight" activeCell="C12" sqref="A1:XFD1048576"/>
      <selection pane="bottomLeft" activeCell="C12" sqref="A1:XFD1048576"/>
      <selection pane="bottomRight" activeCell="A7" sqref="A7"/>
    </sheetView>
  </sheetViews>
  <sheetFormatPr defaultColWidth="8.4140625" defaultRowHeight="15" customHeight="1" outlineLevelRow="1" outlineLevelCol="1" x14ac:dyDescent="0.35"/>
  <cols>
    <col min="1" max="1" width="4.58203125" style="18" customWidth="1"/>
    <col min="2" max="2" width="1.58203125" style="18" customWidth="1"/>
    <col min="3" max="3" width="26.58203125" style="18" customWidth="1"/>
    <col min="4" max="4" width="2" style="18" customWidth="1"/>
    <col min="5" max="5" width="13.58203125" style="18" customWidth="1"/>
    <col min="6" max="6" width="1.58203125" style="18" customWidth="1"/>
    <col min="7" max="7" width="15.1640625" style="18" bestFit="1" customWidth="1"/>
    <col min="8" max="8" width="1.58203125" style="18" customWidth="1"/>
    <col min="9" max="9" width="13.58203125" style="18" customWidth="1"/>
    <col min="10" max="10" width="1.58203125" style="18" customWidth="1"/>
    <col min="11" max="12" width="13.58203125" style="18" customWidth="1" outlineLevel="1"/>
    <col min="13" max="19" width="13.58203125" style="18" customWidth="1"/>
    <col min="20" max="20" width="1.75" style="18" customWidth="1"/>
    <col min="21" max="21" width="13.58203125" style="18" customWidth="1"/>
    <col min="22" max="22" width="1.58203125" style="18" customWidth="1"/>
    <col min="23" max="23" width="2" style="137" customWidth="1" outlineLevel="1"/>
    <col min="24" max="24" width="12.75" style="141" customWidth="1" outlineLevel="1"/>
    <col min="25" max="25" width="6.58203125" style="137" customWidth="1"/>
    <col min="26" max="16384" width="8.4140625" style="137"/>
  </cols>
  <sheetData>
    <row r="1" spans="1:25" s="18" customFormat="1" ht="15" customHeight="1" x14ac:dyDescent="0.35">
      <c r="V1" s="9"/>
      <c r="X1" s="141"/>
    </row>
    <row r="2" spans="1:25" s="9" customFormat="1" ht="15" customHeight="1" x14ac:dyDescent="0.35">
      <c r="B2" s="130" t="str">
        <f>Title!$B$5</f>
        <v xml:space="preserve">DCF Valuation Model </v>
      </c>
      <c r="Q2" s="14"/>
      <c r="R2" s="14"/>
      <c r="T2" s="131"/>
      <c r="V2" s="131" t="e">
        <f>Title!#REF!&amp;" "&amp;Title!#REF!</f>
        <v>#REF!</v>
      </c>
      <c r="X2" s="864"/>
    </row>
    <row r="3" spans="1:25" s="9" customFormat="1" ht="1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99"/>
      <c r="R3" s="699"/>
      <c r="S3" s="36"/>
      <c r="T3" s="689"/>
      <c r="U3" s="36"/>
      <c r="V3" s="689" t="e">
        <f>Title!#REF!</f>
        <v>#REF!</v>
      </c>
      <c r="X3" s="865">
        <f ca="1">SUM(X4:X168)</f>
        <v>0</v>
      </c>
    </row>
    <row r="4" spans="1:25" s="9" customFormat="1" ht="15" customHeight="1" x14ac:dyDescent="0.35">
      <c r="Q4" s="14"/>
      <c r="R4" s="14"/>
      <c r="S4" s="14"/>
      <c r="T4" s="14"/>
      <c r="V4" s="14"/>
      <c r="X4" s="866"/>
    </row>
    <row r="5" spans="1:25" s="9" customFormat="1" ht="20.399999999999999" x14ac:dyDescent="0.35">
      <c r="C5" s="136" t="s">
        <v>43</v>
      </c>
      <c r="D5" s="136"/>
      <c r="E5" s="136"/>
      <c r="Q5" s="14"/>
      <c r="R5" s="14"/>
      <c r="S5" s="14"/>
      <c r="T5" s="14"/>
      <c r="U5" s="14"/>
      <c r="V5" s="14"/>
      <c r="X5" s="141"/>
    </row>
    <row r="6" spans="1:25" ht="15" customHeight="1" x14ac:dyDescent="0.35">
      <c r="A6" s="137"/>
      <c r="B6" s="137"/>
      <c r="C6" s="138" t="str">
        <f>"All amounts in "&amp;Assumptions!$G$14</f>
        <v>All amounts in USD</v>
      </c>
      <c r="D6" s="138"/>
      <c r="E6" s="138"/>
      <c r="F6" s="139"/>
      <c r="G6" s="139"/>
      <c r="H6" s="139"/>
      <c r="I6" s="139"/>
      <c r="J6" s="13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40"/>
    </row>
    <row r="7" spans="1:25" s="13" customFormat="1" ht="15" customHeight="1" x14ac:dyDescent="0.35">
      <c r="A7" s="719">
        <f>MAX(A$1:A6)+1</f>
        <v>1</v>
      </c>
      <c r="B7" s="196"/>
      <c r="C7" s="143" t="s">
        <v>44</v>
      </c>
      <c r="D7" s="143"/>
      <c r="E7" s="143"/>
      <c r="F7" s="143"/>
      <c r="G7" s="143" t="s">
        <v>45</v>
      </c>
      <c r="H7" s="143"/>
      <c r="I7" s="143"/>
      <c r="J7" s="143"/>
      <c r="K7" s="694">
        <f ca="1">Assumptions!M7</f>
        <v>2024</v>
      </c>
      <c r="L7" s="694">
        <f ca="1">Assumptions!N7</f>
        <v>2025</v>
      </c>
      <c r="M7" s="695">
        <f ca="1">Assumptions!O7</f>
        <v>2026</v>
      </c>
      <c r="N7" s="871">
        <f ca="1">Assumptions!P7</f>
        <v>2026</v>
      </c>
      <c r="O7" s="871">
        <f ca="1">Assumptions!Q7</f>
        <v>2027</v>
      </c>
      <c r="P7" s="871">
        <f ca="1">Assumptions!R7</f>
        <v>2028</v>
      </c>
      <c r="Q7" s="871">
        <f ca="1">Assumptions!S7</f>
        <v>2029</v>
      </c>
      <c r="R7" s="871">
        <f ca="1">Assumptions!T7</f>
        <v>2030</v>
      </c>
      <c r="S7" s="871">
        <f ca="1">Assumptions!U7</f>
        <v>2031</v>
      </c>
      <c r="T7" s="703"/>
      <c r="U7" s="704">
        <f>MAX(K8:T8)</f>
        <v>5</v>
      </c>
      <c r="V7" s="197"/>
      <c r="X7" s="223"/>
      <c r="Y7" s="13" t="s">
        <v>274</v>
      </c>
    </row>
    <row r="8" spans="1:25" s="9" customFormat="1" ht="15" customHeight="1" x14ac:dyDescent="0.35">
      <c r="A8" s="137"/>
      <c r="B8" s="147"/>
      <c r="C8" s="148" t="str">
        <f>Assumptions!K8</f>
        <v>Forecast Year</v>
      </c>
      <c r="D8" s="148"/>
      <c r="E8" s="148"/>
      <c r="F8" s="149"/>
      <c r="G8" s="149"/>
      <c r="H8" s="149"/>
      <c r="I8" s="150"/>
      <c r="J8" s="149"/>
      <c r="K8" s="150">
        <f>L8-1</f>
        <v>-2</v>
      </c>
      <c r="L8" s="150">
        <f>M8-1</f>
        <v>-1</v>
      </c>
      <c r="M8" s="152">
        <v>0</v>
      </c>
      <c r="N8" s="150">
        <f>L8+1</f>
        <v>0</v>
      </c>
      <c r="O8" s="150">
        <f>M8+1</f>
        <v>1</v>
      </c>
      <c r="P8" s="150">
        <f t="shared" ref="P8:S8" si="0">O8+1</f>
        <v>2</v>
      </c>
      <c r="Q8" s="150">
        <f t="shared" si="0"/>
        <v>3</v>
      </c>
      <c r="R8" s="150">
        <f t="shared" si="0"/>
        <v>4</v>
      </c>
      <c r="S8" s="150">
        <f t="shared" si="0"/>
        <v>5</v>
      </c>
      <c r="T8" s="150"/>
      <c r="U8" s="713">
        <f>S8</f>
        <v>5</v>
      </c>
      <c r="V8" s="152"/>
      <c r="X8" s="141"/>
    </row>
    <row r="9" spans="1:25" ht="15" customHeight="1" x14ac:dyDescent="0.35">
      <c r="A9" s="137"/>
      <c r="B9" s="153"/>
      <c r="C9" s="388"/>
      <c r="D9" s="388"/>
      <c r="E9" s="388"/>
      <c r="F9" s="19"/>
      <c r="G9" s="19"/>
      <c r="H9" s="19"/>
      <c r="I9" s="19"/>
      <c r="J9" s="19"/>
      <c r="K9" s="381"/>
      <c r="L9" s="381"/>
      <c r="M9" s="389"/>
      <c r="N9" s="381"/>
      <c r="O9" s="381"/>
      <c r="P9" s="381"/>
      <c r="Q9" s="381"/>
      <c r="R9" s="381"/>
      <c r="S9" s="381"/>
      <c r="T9" s="381"/>
      <c r="U9" s="714"/>
      <c r="V9" s="389"/>
    </row>
    <row r="10" spans="1:25" s="18" customFormat="1" ht="15" customHeight="1" x14ac:dyDescent="0.35">
      <c r="B10" s="160"/>
      <c r="C10" s="66" t="str">
        <f>Assumptions!K12</f>
        <v>Revenue</v>
      </c>
      <c r="D10" s="66"/>
      <c r="E10" s="66"/>
      <c r="F10" s="66"/>
      <c r="G10" s="90" t="str">
        <f>Assumptions!$G$14</f>
        <v>USD</v>
      </c>
      <c r="H10" s="41"/>
      <c r="I10" s="41"/>
      <c r="J10" s="41"/>
      <c r="K10" s="346">
        <f>Assumptions!M12</f>
        <v>4500000</v>
      </c>
      <c r="L10" s="346">
        <f>Assumptions!N12</f>
        <v>4750000</v>
      </c>
      <c r="M10" s="729">
        <f>Assumptions!O12</f>
        <v>5000000</v>
      </c>
      <c r="N10" s="346">
        <f>Assumptions!P12</f>
        <v>5263000</v>
      </c>
      <c r="O10" s="346">
        <f>Assumptions!Q12</f>
        <v>5657725</v>
      </c>
      <c r="P10" s="346">
        <f>Assumptions!R12</f>
        <v>6082054.375</v>
      </c>
      <c r="Q10" s="346">
        <f>Assumptions!S12</f>
        <v>6386157.09375</v>
      </c>
      <c r="R10" s="346">
        <f>Assumptions!T12</f>
        <v>6705464.9484375007</v>
      </c>
      <c r="S10" s="346">
        <f>Assumptions!U12</f>
        <v>7040738.1958593763</v>
      </c>
      <c r="T10" s="346"/>
      <c r="U10" s="715">
        <f>SUM(N10:T10)</f>
        <v>37135139.613046877</v>
      </c>
      <c r="V10" s="390"/>
      <c r="X10" s="141"/>
    </row>
    <row r="11" spans="1:25" s="391" customFormat="1" ht="15" customHeight="1" x14ac:dyDescent="0.35">
      <c r="B11" s="392"/>
      <c r="C11" s="12" t="str">
        <f>Assumptions!K13</f>
        <v>Revenue Growth</v>
      </c>
      <c r="D11" s="12"/>
      <c r="E11" s="12"/>
      <c r="F11" s="393"/>
      <c r="G11" s="393" t="s">
        <v>47</v>
      </c>
      <c r="H11" s="393"/>
      <c r="I11" s="393"/>
      <c r="J11" s="393"/>
      <c r="K11" s="394" t="str">
        <f>IFERROR(K10/I10-1,"NA")</f>
        <v>NA</v>
      </c>
      <c r="L11" s="394">
        <f>IFERROR(L10/K10-1,"NA")</f>
        <v>5.555555555555558E-2</v>
      </c>
      <c r="M11" s="730">
        <f t="shared" ref="M11:S11" si="1">IFERROR(M$10/L$10-1,"NA")</f>
        <v>5.2631578947368363E-2</v>
      </c>
      <c r="N11" s="394">
        <f t="shared" si="1"/>
        <v>5.259999999999998E-2</v>
      </c>
      <c r="O11" s="394">
        <f t="shared" si="1"/>
        <v>7.4999999999999956E-2</v>
      </c>
      <c r="P11" s="394">
        <f t="shared" si="1"/>
        <v>7.4999999999999956E-2</v>
      </c>
      <c r="Q11" s="394">
        <f t="shared" si="1"/>
        <v>5.0000000000000044E-2</v>
      </c>
      <c r="R11" s="394">
        <f t="shared" si="1"/>
        <v>5.0000000000000044E-2</v>
      </c>
      <c r="S11" s="394">
        <f t="shared" si="1"/>
        <v>5.0000000000000044E-2</v>
      </c>
      <c r="T11" s="394"/>
      <c r="U11" s="720">
        <f>IFERROR((O10/P10)^(1/$U$7-$O$8)-1,"NA")</f>
        <v>5.9562968525572746E-2</v>
      </c>
      <c r="V11" s="395"/>
      <c r="X11" s="772"/>
      <c r="Y11" s="18"/>
    </row>
    <row r="12" spans="1:25" s="18" customFormat="1" ht="15" customHeight="1" x14ac:dyDescent="0.35">
      <c r="B12" s="160"/>
      <c r="C12" s="9"/>
      <c r="D12" s="9"/>
      <c r="E12" s="9"/>
      <c r="F12" s="9"/>
      <c r="G12" s="9"/>
      <c r="H12" s="9"/>
      <c r="I12" s="9"/>
      <c r="J12" s="9"/>
      <c r="K12" s="396"/>
      <c r="L12" s="396"/>
      <c r="M12" s="397"/>
      <c r="N12" s="394"/>
      <c r="O12" s="394"/>
      <c r="P12" s="394"/>
      <c r="Q12" s="394"/>
      <c r="R12" s="394"/>
      <c r="S12" s="394"/>
      <c r="T12" s="394"/>
      <c r="U12" s="716"/>
      <c r="V12" s="397"/>
      <c r="X12" s="141"/>
    </row>
    <row r="13" spans="1:25" s="18" customFormat="1" ht="15" customHeight="1" x14ac:dyDescent="0.35">
      <c r="B13" s="160"/>
      <c r="C13" s="92" t="str">
        <f>Assumptions!K15</f>
        <v>Direct Costs</v>
      </c>
      <c r="D13" s="398"/>
      <c r="E13" s="398"/>
      <c r="F13" s="399"/>
      <c r="G13" s="400" t="str">
        <f>Assumptions!$G$14</f>
        <v>USD</v>
      </c>
      <c r="H13" s="36"/>
      <c r="I13" s="399"/>
      <c r="J13" s="36"/>
      <c r="K13" s="401">
        <f>-Assumptions!M15</f>
        <v>-2000000</v>
      </c>
      <c r="L13" s="401">
        <f>-Assumptions!N15</f>
        <v>-2300000</v>
      </c>
      <c r="M13" s="731">
        <f>-Assumptions!O15</f>
        <v>-2500000</v>
      </c>
      <c r="N13" s="401">
        <f>-Assumptions!P15</f>
        <v>-2631500</v>
      </c>
      <c r="O13" s="401">
        <f>-Assumptions!Q15</f>
        <v>-3168326.0000000005</v>
      </c>
      <c r="P13" s="401">
        <f>-Assumptions!R15</f>
        <v>-3405950.45</v>
      </c>
      <c r="Q13" s="401">
        <f>-Assumptions!S15</f>
        <v>-3512386.4015625003</v>
      </c>
      <c r="R13" s="401">
        <f>-Assumptions!T15</f>
        <v>-3688005.7216406255</v>
      </c>
      <c r="S13" s="401">
        <f>-Assumptions!U15</f>
        <v>-3872406.0077226572</v>
      </c>
      <c r="T13" s="401"/>
      <c r="U13" s="753">
        <f>SUM(N13:T13)</f>
        <v>-20278574.580925785</v>
      </c>
      <c r="V13" s="402"/>
      <c r="X13" s="141"/>
    </row>
    <row r="14" spans="1:25" s="18" customFormat="1" ht="15" customHeight="1" x14ac:dyDescent="0.35">
      <c r="B14" s="160"/>
      <c r="C14" s="41" t="str">
        <f>Assumptions!K16</f>
        <v>Gross Profit</v>
      </c>
      <c r="D14" s="41"/>
      <c r="E14" s="41"/>
      <c r="F14" s="403"/>
      <c r="G14" s="90" t="str">
        <f>Assumptions!$G$14</f>
        <v>USD</v>
      </c>
      <c r="H14" s="41"/>
      <c r="I14" s="403"/>
      <c r="J14" s="41"/>
      <c r="K14" s="404">
        <f t="shared" ref="K14:S14" si="2">K10+K13</f>
        <v>2500000</v>
      </c>
      <c r="L14" s="404">
        <f t="shared" si="2"/>
        <v>2450000</v>
      </c>
      <c r="M14" s="390">
        <f t="shared" si="2"/>
        <v>2500000</v>
      </c>
      <c r="N14" s="404">
        <f t="shared" ref="N14" si="3">N10+N13</f>
        <v>2631500</v>
      </c>
      <c r="O14" s="404">
        <f t="shared" si="2"/>
        <v>2489398.9999999995</v>
      </c>
      <c r="P14" s="404">
        <f t="shared" si="2"/>
        <v>2676103.9249999998</v>
      </c>
      <c r="Q14" s="404">
        <f t="shared" si="2"/>
        <v>2873770.6921874997</v>
      </c>
      <c r="R14" s="404">
        <f t="shared" si="2"/>
        <v>3017459.2267968752</v>
      </c>
      <c r="S14" s="404">
        <f t="shared" si="2"/>
        <v>3168332.1881367192</v>
      </c>
      <c r="T14" s="404"/>
      <c r="U14" s="754">
        <f t="shared" ref="U14" si="4">U10+U13</f>
        <v>16856565.032121092</v>
      </c>
      <c r="V14" s="405"/>
      <c r="X14" s="141">
        <f>SUM(K10:S10)+SUM(K13:S13)-SUM(K14:S14)</f>
        <v>0</v>
      </c>
    </row>
    <row r="15" spans="1:25" s="391" customFormat="1" ht="15" customHeight="1" x14ac:dyDescent="0.35">
      <c r="A15" s="18"/>
      <c r="B15" s="392"/>
      <c r="C15" s="12" t="str">
        <f>Assumptions!K17</f>
        <v>Gross Profit Margin %</v>
      </c>
      <c r="D15" s="12"/>
      <c r="E15" s="12"/>
      <c r="F15" s="393"/>
      <c r="G15" s="393" t="s">
        <v>49</v>
      </c>
      <c r="H15" s="393"/>
      <c r="I15" s="393"/>
      <c r="J15" s="393"/>
      <c r="K15" s="406">
        <f>IF(ISERR(K14/K$10),"NA",K14/K$10)</f>
        <v>0.55555555555555558</v>
      </c>
      <c r="L15" s="406">
        <f>IF(ISERR(L14/L$10),"NA",L14/L$10)</f>
        <v>0.51578947368421058</v>
      </c>
      <c r="M15" s="732">
        <f t="shared" ref="M15:U15" si="5">IF(ISERR(M$14/M$10),"NA",M$14/M$10)</f>
        <v>0.5</v>
      </c>
      <c r="N15" s="406">
        <f t="shared" si="5"/>
        <v>0.5</v>
      </c>
      <c r="O15" s="406">
        <f t="shared" si="5"/>
        <v>0.43999999999999989</v>
      </c>
      <c r="P15" s="406">
        <f t="shared" si="5"/>
        <v>0.43999999999999995</v>
      </c>
      <c r="Q15" s="406">
        <f t="shared" si="5"/>
        <v>0.44999999999999996</v>
      </c>
      <c r="R15" s="406">
        <f t="shared" si="5"/>
        <v>0.45</v>
      </c>
      <c r="S15" s="406">
        <f t="shared" si="5"/>
        <v>0.44999999999999996</v>
      </c>
      <c r="T15" s="406"/>
      <c r="U15" s="716">
        <f t="shared" si="5"/>
        <v>0.4539249133776998</v>
      </c>
      <c r="V15" s="407"/>
      <c r="X15" s="141"/>
    </row>
    <row r="16" spans="1:25" s="18" customFormat="1" ht="15" customHeight="1" x14ac:dyDescent="0.35">
      <c r="B16" s="160"/>
      <c r="C16" s="9"/>
      <c r="D16" s="9"/>
      <c r="E16" s="9"/>
      <c r="F16" s="9"/>
      <c r="G16" s="9"/>
      <c r="H16" s="9"/>
      <c r="I16" s="9"/>
      <c r="J16" s="9"/>
      <c r="K16" s="396"/>
      <c r="L16" s="396"/>
      <c r="M16" s="397"/>
      <c r="N16" s="406"/>
      <c r="O16" s="406"/>
      <c r="P16" s="406"/>
      <c r="Q16" s="406"/>
      <c r="R16" s="406"/>
      <c r="S16" s="406"/>
      <c r="T16" s="406"/>
      <c r="U16" s="716"/>
      <c r="V16" s="397"/>
      <c r="X16" s="141"/>
    </row>
    <row r="17" spans="1:25" s="18" customFormat="1" ht="15" customHeight="1" x14ac:dyDescent="0.35">
      <c r="B17" s="160"/>
      <c r="C17" s="36" t="str">
        <f>Assumptions!K19</f>
        <v>Operating Expenses</v>
      </c>
      <c r="D17" s="36"/>
      <c r="E17" s="36"/>
      <c r="F17" s="36"/>
      <c r="G17" s="400" t="str">
        <f>Assumptions!$G$14</f>
        <v>USD</v>
      </c>
      <c r="H17" s="36"/>
      <c r="I17" s="36"/>
      <c r="J17" s="36"/>
      <c r="K17" s="356">
        <f>-Assumptions!M19</f>
        <v>-1190000</v>
      </c>
      <c r="L17" s="356">
        <f>-Assumptions!N19</f>
        <v>-1010000</v>
      </c>
      <c r="M17" s="733">
        <f>-Assumptions!O19</f>
        <v>-1580000</v>
      </c>
      <c r="N17" s="356">
        <f>-Assumptions!P19</f>
        <v>-1350000</v>
      </c>
      <c r="O17" s="356">
        <f>-Assumptions!Q19</f>
        <v>-1388714.3181818181</v>
      </c>
      <c r="P17" s="356">
        <f>-Assumptions!R19</f>
        <v>-1492867.8920454548</v>
      </c>
      <c r="Q17" s="356">
        <f>-Assumptions!S19</f>
        <v>-1612297.3234090912</v>
      </c>
      <c r="R17" s="356">
        <f>-Assumptions!T19</f>
        <v>-1757404.0825159098</v>
      </c>
      <c r="S17" s="356">
        <f>-Assumptions!U19</f>
        <v>-1933144.4907675011</v>
      </c>
      <c r="T17" s="356"/>
      <c r="U17" s="753">
        <f>SUM(N17:T17)</f>
        <v>-9534428.1069197766</v>
      </c>
      <c r="V17" s="402"/>
      <c r="X17" s="141"/>
    </row>
    <row r="18" spans="1:25" s="18" customFormat="1" ht="15" customHeight="1" x14ac:dyDescent="0.35">
      <c r="B18" s="160"/>
      <c r="C18" s="41" t="str">
        <f>Assumptions!K20</f>
        <v>EBITDA</v>
      </c>
      <c r="D18" s="41"/>
      <c r="E18" s="41"/>
      <c r="F18" s="41"/>
      <c r="G18" s="90" t="str">
        <f>Assumptions!$G$14</f>
        <v>USD</v>
      </c>
      <c r="H18" s="41"/>
      <c r="I18" s="41"/>
      <c r="J18" s="41"/>
      <c r="K18" s="408">
        <f t="shared" ref="K18:S18" si="6">K14+K17</f>
        <v>1310000</v>
      </c>
      <c r="L18" s="408">
        <f t="shared" si="6"/>
        <v>1440000</v>
      </c>
      <c r="M18" s="734">
        <f t="shared" si="6"/>
        <v>920000</v>
      </c>
      <c r="N18" s="408">
        <f t="shared" ref="N18" si="7">N14+N17</f>
        <v>1281500</v>
      </c>
      <c r="O18" s="408">
        <f t="shared" si="6"/>
        <v>1100684.6818181814</v>
      </c>
      <c r="P18" s="408">
        <f t="shared" si="6"/>
        <v>1183236.032954545</v>
      </c>
      <c r="Q18" s="408">
        <f t="shared" si="6"/>
        <v>1261473.3687784085</v>
      </c>
      <c r="R18" s="408">
        <f t="shared" si="6"/>
        <v>1260055.1442809654</v>
      </c>
      <c r="S18" s="408">
        <f t="shared" si="6"/>
        <v>1235187.6973692181</v>
      </c>
      <c r="T18" s="408"/>
      <c r="U18" s="754">
        <f t="shared" ref="U18" si="8">U14+U17</f>
        <v>7322136.9252013154</v>
      </c>
      <c r="V18" s="405"/>
      <c r="X18" s="141">
        <f>SUM(K14:S14)+SUM(K17:S17)-SUM(K18:S18)</f>
        <v>0</v>
      </c>
    </row>
    <row r="19" spans="1:25" s="391" customFormat="1" ht="15" customHeight="1" x14ac:dyDescent="0.35">
      <c r="B19" s="392"/>
      <c r="C19" s="12" t="str">
        <f>Assumptions!K21</f>
        <v>EBITDA Margin %</v>
      </c>
      <c r="D19" s="12"/>
      <c r="E19" s="12"/>
      <c r="F19" s="393"/>
      <c r="G19" s="393" t="s">
        <v>49</v>
      </c>
      <c r="H19" s="393"/>
      <c r="I19" s="393"/>
      <c r="J19" s="393"/>
      <c r="K19" s="406">
        <f t="shared" ref="K19:S19" si="9">IF(ISERR(K18/K$10),"NA",K18/K$10)</f>
        <v>0.2911111111111111</v>
      </c>
      <c r="L19" s="406">
        <f t="shared" si="9"/>
        <v>0.30315789473684213</v>
      </c>
      <c r="M19" s="732">
        <f t="shared" si="9"/>
        <v>0.184</v>
      </c>
      <c r="N19" s="406">
        <f t="shared" ref="N19" si="10">IF(ISERR(N18/N$10),"NA",N18/N$10)</f>
        <v>0.24349230476914308</v>
      </c>
      <c r="O19" s="406">
        <f t="shared" si="9"/>
        <v>0.19454545454545447</v>
      </c>
      <c r="P19" s="406">
        <f t="shared" si="9"/>
        <v>0.19454545454545447</v>
      </c>
      <c r="Q19" s="406">
        <f t="shared" si="9"/>
        <v>0.19753246753246745</v>
      </c>
      <c r="R19" s="406">
        <f t="shared" si="9"/>
        <v>0.18791465677179953</v>
      </c>
      <c r="S19" s="406">
        <f t="shared" si="9"/>
        <v>0.17543440233236138</v>
      </c>
      <c r="T19" s="406"/>
      <c r="U19" s="716">
        <f t="shared" ref="U19" si="11">IF(ISERR(U18/U$10),"NA",U18/U$10)</f>
        <v>0.1971754247189848</v>
      </c>
      <c r="V19" s="407"/>
      <c r="X19" s="141"/>
    </row>
    <row r="20" spans="1:25" s="18" customFormat="1" ht="15" customHeight="1" x14ac:dyDescent="0.35">
      <c r="B20" s="160"/>
      <c r="C20" s="409"/>
      <c r="D20" s="409"/>
      <c r="E20" s="409"/>
      <c r="F20" s="9"/>
      <c r="G20" s="9"/>
      <c r="H20" s="9"/>
      <c r="I20" s="9"/>
      <c r="J20" s="9"/>
      <c r="K20" s="410"/>
      <c r="L20" s="410"/>
      <c r="M20" s="411"/>
      <c r="N20" s="410"/>
      <c r="O20" s="410"/>
      <c r="P20" s="410"/>
      <c r="Q20" s="410"/>
      <c r="R20" s="410"/>
      <c r="S20" s="410"/>
      <c r="T20" s="410"/>
      <c r="U20" s="755"/>
      <c r="V20" s="411"/>
      <c r="X20" s="141"/>
    </row>
    <row r="21" spans="1:25" s="18" customFormat="1" ht="15" customHeight="1" x14ac:dyDescent="0.35">
      <c r="B21" s="160"/>
      <c r="C21" s="58" t="str">
        <f>Assumptions!K23</f>
        <v>Depreciation</v>
      </c>
      <c r="D21" s="58"/>
      <c r="E21" s="58"/>
      <c r="F21" s="9"/>
      <c r="G21" s="89" t="str">
        <f>Assumptions!$G$14</f>
        <v>USD</v>
      </c>
      <c r="H21" s="9"/>
      <c r="I21" s="9"/>
      <c r="J21" s="9"/>
      <c r="K21" s="356">
        <f>-Assumptions!M23</f>
        <v>-100000</v>
      </c>
      <c r="L21" s="356">
        <f>-Assumptions!N23</f>
        <v>-100000</v>
      </c>
      <c r="M21" s="733">
        <f>-Assumptions!O23</f>
        <v>-100000</v>
      </c>
      <c r="N21" s="412">
        <f t="shared" ref="N21:S21" si="12">-N185</f>
        <v>0</v>
      </c>
      <c r="O21" s="412">
        <f t="shared" si="12"/>
        <v>-300000</v>
      </c>
      <c r="P21" s="412">
        <f t="shared" si="12"/>
        <v>-300000</v>
      </c>
      <c r="Q21" s="412">
        <f t="shared" si="12"/>
        <v>-300000</v>
      </c>
      <c r="R21" s="412">
        <f t="shared" si="12"/>
        <v>-300000</v>
      </c>
      <c r="S21" s="412">
        <f t="shared" si="12"/>
        <v>-350000</v>
      </c>
      <c r="T21" s="412"/>
      <c r="U21" s="753">
        <f>SUM(N21:T21)</f>
        <v>-1550000</v>
      </c>
      <c r="V21" s="402"/>
      <c r="X21" s="141">
        <f>U21+U185</f>
        <v>0</v>
      </c>
    </row>
    <row r="22" spans="1:25" s="18" customFormat="1" ht="15" customHeight="1" x14ac:dyDescent="0.35">
      <c r="B22" s="160"/>
      <c r="C22" s="84" t="s">
        <v>6</v>
      </c>
      <c r="D22" s="84"/>
      <c r="E22" s="84"/>
      <c r="F22" s="84"/>
      <c r="G22" s="413" t="str">
        <f>Assumptions!$G$14</f>
        <v>USD</v>
      </c>
      <c r="H22" s="84"/>
      <c r="I22" s="84"/>
      <c r="J22" s="84"/>
      <c r="K22" s="408">
        <f t="shared" ref="K22:N22" si="13">K18+K21</f>
        <v>1210000</v>
      </c>
      <c r="L22" s="408">
        <f t="shared" si="13"/>
        <v>1340000</v>
      </c>
      <c r="M22" s="734">
        <f t="shared" si="13"/>
        <v>820000</v>
      </c>
      <c r="N22" s="408">
        <f t="shared" si="13"/>
        <v>1281500</v>
      </c>
      <c r="O22" s="408">
        <f t="shared" ref="O22:S22" si="14">O18+O21</f>
        <v>800684.68181818142</v>
      </c>
      <c r="P22" s="408">
        <f t="shared" si="14"/>
        <v>883236.03295454499</v>
      </c>
      <c r="Q22" s="408">
        <f t="shared" si="14"/>
        <v>961473.36877840851</v>
      </c>
      <c r="R22" s="408">
        <f t="shared" si="14"/>
        <v>960055.14428096544</v>
      </c>
      <c r="S22" s="408">
        <f t="shared" si="14"/>
        <v>885187.69736921811</v>
      </c>
      <c r="T22" s="408"/>
      <c r="U22" s="754">
        <f t="shared" ref="U22" si="15">U18+U21</f>
        <v>5772136.9252013154</v>
      </c>
      <c r="V22" s="405"/>
      <c r="X22" s="141">
        <f>SUM(K18:S18)+SUM(K21:S21)-SUM(K22:S22)</f>
        <v>0</v>
      </c>
    </row>
    <row r="23" spans="1:25" s="391" customFormat="1" ht="15" customHeight="1" x14ac:dyDescent="0.35">
      <c r="B23" s="392"/>
      <c r="C23" s="12" t="str">
        <f>C22&amp;" Margin %"</f>
        <v>EBIT Margin %</v>
      </c>
      <c r="D23" s="12"/>
      <c r="E23" s="12"/>
      <c r="F23" s="393"/>
      <c r="G23" s="393" t="s">
        <v>49</v>
      </c>
      <c r="H23" s="393"/>
      <c r="I23" s="393"/>
      <c r="J23" s="393"/>
      <c r="K23" s="406">
        <f t="shared" ref="K23:S23" si="16">IF(ISERR(K22/K$10),"NA",K22/K$10)</f>
        <v>0.2688888888888889</v>
      </c>
      <c r="L23" s="406">
        <f t="shared" si="16"/>
        <v>0.28210526315789475</v>
      </c>
      <c r="M23" s="732">
        <f t="shared" si="16"/>
        <v>0.16400000000000001</v>
      </c>
      <c r="N23" s="406">
        <f t="shared" ref="N23" si="17">IF(ISERR(N22/N$10),"NA",N22/N$10)</f>
        <v>0.24349230476914308</v>
      </c>
      <c r="O23" s="406">
        <f t="shared" si="16"/>
        <v>0.14152060798610422</v>
      </c>
      <c r="P23" s="406">
        <f t="shared" si="16"/>
        <v>0.14522001588559375</v>
      </c>
      <c r="Q23" s="406">
        <f t="shared" si="16"/>
        <v>0.15055585928498105</v>
      </c>
      <c r="R23" s="406">
        <f t="shared" si="16"/>
        <v>0.14317502986943154</v>
      </c>
      <c r="S23" s="406">
        <f t="shared" si="16"/>
        <v>0.12572370577417474</v>
      </c>
      <c r="T23" s="406"/>
      <c r="U23" s="716">
        <f t="shared" ref="U23" si="18">IF(ISERR(U22/U$10),"NA",U22/U$10)</f>
        <v>0.15543598288165211</v>
      </c>
      <c r="V23" s="407"/>
      <c r="X23" s="141"/>
    </row>
    <row r="24" spans="1:25" s="18" customFormat="1" ht="15" customHeight="1" x14ac:dyDescent="0.35">
      <c r="B24" s="160"/>
      <c r="C24" s="409"/>
      <c r="D24" s="409"/>
      <c r="E24" s="409"/>
      <c r="F24" s="9"/>
      <c r="G24" s="9"/>
      <c r="H24" s="9"/>
      <c r="I24" s="9"/>
      <c r="J24" s="9"/>
      <c r="K24" s="410"/>
      <c r="L24" s="410"/>
      <c r="M24" s="411"/>
      <c r="N24" s="410"/>
      <c r="O24" s="410"/>
      <c r="P24" s="410"/>
      <c r="Q24" s="410"/>
      <c r="R24" s="410"/>
      <c r="S24" s="410"/>
      <c r="T24" s="410"/>
      <c r="U24" s="755"/>
      <c r="V24" s="411"/>
      <c r="X24" s="141"/>
    </row>
    <row r="25" spans="1:25" s="18" customFormat="1" ht="15" customHeight="1" x14ac:dyDescent="0.35">
      <c r="B25" s="160"/>
      <c r="C25" s="58" t="str">
        <f>Assumptions!K24</f>
        <v>Extraordinary Expenses</v>
      </c>
      <c r="D25" s="58"/>
      <c r="E25" s="58"/>
      <c r="F25" s="9"/>
      <c r="G25" s="89" t="str">
        <f>Assumptions!$G$14</f>
        <v>USD</v>
      </c>
      <c r="H25" s="9"/>
      <c r="I25" s="9"/>
      <c r="J25" s="9"/>
      <c r="K25" s="356">
        <f>-Assumptions!M24</f>
        <v>0</v>
      </c>
      <c r="L25" s="356">
        <f>-Assumptions!N24</f>
        <v>0</v>
      </c>
      <c r="M25" s="733">
        <f>-Assumptions!O24</f>
        <v>0</v>
      </c>
      <c r="N25" s="356">
        <f>-Assumptions!P24</f>
        <v>0</v>
      </c>
      <c r="O25" s="356">
        <f>-Assumptions!Q24</f>
        <v>0</v>
      </c>
      <c r="P25" s="412">
        <v>0</v>
      </c>
      <c r="Q25" s="412">
        <v>0</v>
      </c>
      <c r="R25" s="412">
        <v>0</v>
      </c>
      <c r="S25" s="412">
        <v>0</v>
      </c>
      <c r="T25" s="412"/>
      <c r="U25" s="753">
        <f t="shared" ref="U25:U26" si="19">SUM(N25:T25)</f>
        <v>0</v>
      </c>
      <c r="V25" s="402"/>
      <c r="X25" s="141"/>
    </row>
    <row r="26" spans="1:25" s="18" customFormat="1" ht="15" customHeight="1" x14ac:dyDescent="0.35">
      <c r="B26" s="160"/>
      <c r="C26" s="36" t="str">
        <f>Assumptions!K25</f>
        <v>Interest Expense</v>
      </c>
      <c r="D26" s="36"/>
      <c r="E26" s="36"/>
      <c r="F26" s="36"/>
      <c r="G26" s="400" t="str">
        <f>Assumptions!$G$14</f>
        <v>USD</v>
      </c>
      <c r="H26" s="36"/>
      <c r="I26" s="36"/>
      <c r="J26" s="36"/>
      <c r="K26" s="356">
        <f>-Assumptions!M25</f>
        <v>-37500</v>
      </c>
      <c r="L26" s="356">
        <f>-Assumptions!N25</f>
        <v>-39375</v>
      </c>
      <c r="M26" s="733">
        <f>-Assumptions!O25</f>
        <v>-45625</v>
      </c>
      <c r="N26" s="412">
        <f>-IFERROR(AVERAGE(N59)*N$115,0)</f>
        <v>-50000</v>
      </c>
      <c r="O26" s="412">
        <f>-IFERROR(AVERAGE(N59:O59)*O$115,0)</f>
        <v>-46250</v>
      </c>
      <c r="P26" s="412">
        <f>-IFERROR(AVERAGE(O59:P59)*P$115,0)</f>
        <v>-38750</v>
      </c>
      <c r="Q26" s="412">
        <f>-IFERROR(AVERAGE(P59:Q59)*Q$115,0)</f>
        <v>-31250</v>
      </c>
      <c r="R26" s="412">
        <f>-IFERROR(AVERAGE(Q59:R59)*R$115,0)</f>
        <v>-23750</v>
      </c>
      <c r="S26" s="412">
        <f>-IFERROR(AVERAGE(R59:S59)*S$115,0)</f>
        <v>-16250</v>
      </c>
      <c r="T26" s="412"/>
      <c r="U26" s="753">
        <f t="shared" si="19"/>
        <v>-206250</v>
      </c>
      <c r="V26" s="402"/>
      <c r="X26" s="141"/>
    </row>
    <row r="27" spans="1:25" s="13" customFormat="1" ht="15" customHeight="1" x14ac:dyDescent="0.35">
      <c r="A27" s="18"/>
      <c r="B27" s="160"/>
      <c r="C27" s="41" t="s">
        <v>4</v>
      </c>
      <c r="D27" s="41"/>
      <c r="E27" s="41"/>
      <c r="F27" s="41"/>
      <c r="G27" s="90" t="str">
        <f>Assumptions!$G$14</f>
        <v>USD</v>
      </c>
      <c r="H27" s="41"/>
      <c r="I27" s="41"/>
      <c r="J27" s="41"/>
      <c r="K27" s="408">
        <f>K22+SUM(K25:K26)</f>
        <v>1172500</v>
      </c>
      <c r="L27" s="408">
        <f t="shared" ref="L27:S27" si="20">L22+SUM(L25:L26)</f>
        <v>1300625</v>
      </c>
      <c r="M27" s="734">
        <f t="shared" si="20"/>
        <v>774375</v>
      </c>
      <c r="N27" s="408">
        <f>N22+SUM(N25:N26)</f>
        <v>1231500</v>
      </c>
      <c r="O27" s="408">
        <f t="shared" si="20"/>
        <v>754434.68181818142</v>
      </c>
      <c r="P27" s="408">
        <f t="shared" si="20"/>
        <v>844486.03295454499</v>
      </c>
      <c r="Q27" s="408">
        <f t="shared" si="20"/>
        <v>930223.36877840851</v>
      </c>
      <c r="R27" s="408">
        <f t="shared" si="20"/>
        <v>936305.14428096544</v>
      </c>
      <c r="S27" s="408">
        <f t="shared" si="20"/>
        <v>868937.69736921811</v>
      </c>
      <c r="T27" s="408"/>
      <c r="U27" s="754">
        <f t="shared" ref="U27" si="21">U22+SUM(U25:U26)</f>
        <v>5565886.9252013154</v>
      </c>
      <c r="V27" s="405"/>
      <c r="X27" s="141">
        <f>SUM(K22:S22)+SUM(K25:S26)-SUM(K27:S27)</f>
        <v>0</v>
      </c>
      <c r="Y27" s="18"/>
    </row>
    <row r="28" spans="1:25" s="391" customFormat="1" ht="15" customHeight="1" x14ac:dyDescent="0.35">
      <c r="B28" s="392"/>
      <c r="C28" s="12" t="str">
        <f>C27&amp;" Margin %"</f>
        <v>EBT Margin %</v>
      </c>
      <c r="D28" s="12"/>
      <c r="E28" s="12"/>
      <c r="F28" s="393"/>
      <c r="G28" s="393" t="s">
        <v>49</v>
      </c>
      <c r="H28" s="393"/>
      <c r="I28" s="393"/>
      <c r="J28" s="393"/>
      <c r="K28" s="406">
        <f t="shared" ref="K28:S28" si="22">IF(ISERR(K27/K$10),"NA",K27/K$10)</f>
        <v>0.26055555555555554</v>
      </c>
      <c r="L28" s="406">
        <f t="shared" si="22"/>
        <v>0.27381578947368423</v>
      </c>
      <c r="M28" s="732">
        <f t="shared" si="22"/>
        <v>0.15487500000000001</v>
      </c>
      <c r="N28" s="406">
        <f t="shared" ref="N28" si="23">IF(ISERR(N27/N$10),"NA",N27/N$10)</f>
        <v>0.23399201976059281</v>
      </c>
      <c r="O28" s="406">
        <f t="shared" si="22"/>
        <v>0.13334594414153769</v>
      </c>
      <c r="P28" s="406">
        <f t="shared" si="22"/>
        <v>0.13884881339202843</v>
      </c>
      <c r="Q28" s="406">
        <f t="shared" si="22"/>
        <v>0.14566246259253454</v>
      </c>
      <c r="R28" s="406">
        <f t="shared" si="22"/>
        <v>0.13963314273966074</v>
      </c>
      <c r="S28" s="406">
        <f t="shared" si="22"/>
        <v>0.12341570914825893</v>
      </c>
      <c r="T28" s="406"/>
      <c r="U28" s="716">
        <f t="shared" ref="U28" si="24">IF(ISERR(U27/U$10),"NA",U27/U$10)</f>
        <v>0.14988194425007154</v>
      </c>
      <c r="V28" s="407"/>
      <c r="X28" s="141"/>
    </row>
    <row r="29" spans="1:25" s="18" customFormat="1" ht="15" customHeight="1" x14ac:dyDescent="0.35">
      <c r="B29" s="160"/>
      <c r="C29" s="409"/>
      <c r="D29" s="409"/>
      <c r="E29" s="409"/>
      <c r="F29" s="9"/>
      <c r="G29" s="9"/>
      <c r="H29" s="9"/>
      <c r="I29" s="9"/>
      <c r="J29" s="9"/>
      <c r="K29" s="11"/>
      <c r="L29" s="11"/>
      <c r="M29" s="414"/>
      <c r="N29" s="11"/>
      <c r="O29" s="11"/>
      <c r="P29" s="11"/>
      <c r="Q29" s="11"/>
      <c r="R29" s="11"/>
      <c r="S29" s="11"/>
      <c r="T29" s="11"/>
      <c r="U29" s="756"/>
      <c r="V29" s="414"/>
      <c r="X29" s="141"/>
    </row>
    <row r="30" spans="1:25" s="18" customFormat="1" ht="15" customHeight="1" x14ac:dyDescent="0.35">
      <c r="B30" s="160"/>
      <c r="C30" s="36" t="str">
        <f>Assumptions!K26</f>
        <v>Income Taxes</v>
      </c>
      <c r="D30" s="36"/>
      <c r="E30" s="36"/>
      <c r="F30" s="36"/>
      <c r="G30" s="400" t="str">
        <f>Assumptions!$G$14</f>
        <v>USD</v>
      </c>
      <c r="H30" s="36"/>
      <c r="I30" s="36"/>
      <c r="J30" s="36"/>
      <c r="K30" s="415">
        <f>-Assumptions!M26</f>
        <v>-293125</v>
      </c>
      <c r="L30" s="415">
        <f>-Assumptions!N26</f>
        <v>-325156.25</v>
      </c>
      <c r="M30" s="735">
        <f>-Assumptions!O26</f>
        <v>-193593.75</v>
      </c>
      <c r="N30" s="415">
        <f t="shared" ref="N30:S30" si="25">IF(N27&gt;0,-N27*N$145,0)</f>
        <v>-307875</v>
      </c>
      <c r="O30" s="415">
        <f t="shared" si="25"/>
        <v>-188608.67045454535</v>
      </c>
      <c r="P30" s="415">
        <f t="shared" si="25"/>
        <v>-211121.50823863625</v>
      </c>
      <c r="Q30" s="415">
        <f t="shared" si="25"/>
        <v>-232555.84219460213</v>
      </c>
      <c r="R30" s="415">
        <f t="shared" si="25"/>
        <v>-234076.28607024136</v>
      </c>
      <c r="S30" s="415">
        <f t="shared" si="25"/>
        <v>-217234.42434230453</v>
      </c>
      <c r="T30" s="415"/>
      <c r="U30" s="753">
        <f>SUM(N30:T30)</f>
        <v>-1391471.7313003296</v>
      </c>
      <c r="V30" s="402"/>
      <c r="X30" s="141"/>
    </row>
    <row r="31" spans="1:25" s="18" customFormat="1" ht="15" customHeight="1" x14ac:dyDescent="0.35">
      <c r="B31" s="160"/>
      <c r="C31" s="416" t="str">
        <f>Assumptions!K27</f>
        <v>Net Income/Loss</v>
      </c>
      <c r="D31" s="416"/>
      <c r="E31" s="416"/>
      <c r="F31" s="416"/>
      <c r="G31" s="417" t="str">
        <f>Assumptions!$G$14</f>
        <v>USD</v>
      </c>
      <c r="H31" s="416"/>
      <c r="I31" s="416"/>
      <c r="J31" s="416"/>
      <c r="K31" s="418">
        <f t="shared" ref="K31:S31" si="26">K27+K30</f>
        <v>879375</v>
      </c>
      <c r="L31" s="418">
        <f t="shared" si="26"/>
        <v>975468.75</v>
      </c>
      <c r="M31" s="736">
        <f t="shared" si="26"/>
        <v>580781.25</v>
      </c>
      <c r="N31" s="418">
        <f t="shared" ref="N31" si="27">N27+N30</f>
        <v>923625</v>
      </c>
      <c r="O31" s="418">
        <f t="shared" si="26"/>
        <v>565826.011363636</v>
      </c>
      <c r="P31" s="418">
        <f t="shared" si="26"/>
        <v>633364.5247159088</v>
      </c>
      <c r="Q31" s="418">
        <f t="shared" si="26"/>
        <v>697667.52658380638</v>
      </c>
      <c r="R31" s="418">
        <f t="shared" si="26"/>
        <v>702228.85821072408</v>
      </c>
      <c r="S31" s="418">
        <f t="shared" si="26"/>
        <v>651703.27302691364</v>
      </c>
      <c r="T31" s="418"/>
      <c r="U31" s="757">
        <f t="shared" ref="U31" si="28">U27+U30</f>
        <v>4174415.1939009856</v>
      </c>
      <c r="V31" s="405"/>
      <c r="X31" s="141">
        <f>SUM(K27:S27)+SUM(K30:S30)-SUM(K31:S31)</f>
        <v>0</v>
      </c>
    </row>
    <row r="32" spans="1:25" s="391" customFormat="1" ht="15" customHeight="1" x14ac:dyDescent="0.35">
      <c r="B32" s="392"/>
      <c r="C32" s="12" t="str">
        <f>C31&amp;" Margin %"</f>
        <v>Net Income/Loss Margin %</v>
      </c>
      <c r="D32" s="12"/>
      <c r="E32" s="12"/>
      <c r="F32" s="419"/>
      <c r="G32" s="393" t="s">
        <v>49</v>
      </c>
      <c r="H32" s="419"/>
      <c r="I32" s="419"/>
      <c r="J32" s="419"/>
      <c r="K32" s="420">
        <f t="shared" ref="K32:S32" si="29">IF(ISERR(K31/K$10),"NA",K31/K$10)</f>
        <v>0.19541666666666666</v>
      </c>
      <c r="L32" s="420">
        <f t="shared" si="29"/>
        <v>0.20536184210526315</v>
      </c>
      <c r="M32" s="737">
        <f t="shared" si="29"/>
        <v>0.11615625</v>
      </c>
      <c r="N32" s="420">
        <f t="shared" ref="N32" si="30">IF(ISERR(N31/N$10),"NA",N31/N$10)</f>
        <v>0.1754940148204446</v>
      </c>
      <c r="O32" s="420">
        <f t="shared" si="29"/>
        <v>0.10000945810615326</v>
      </c>
      <c r="P32" s="420">
        <f t="shared" si="29"/>
        <v>0.10413661004402132</v>
      </c>
      <c r="Q32" s="420">
        <f t="shared" si="29"/>
        <v>0.10924684694440091</v>
      </c>
      <c r="R32" s="420">
        <f t="shared" si="29"/>
        <v>0.10472485705474556</v>
      </c>
      <c r="S32" s="420">
        <f t="shared" si="29"/>
        <v>9.2561781861194209E-2</v>
      </c>
      <c r="T32" s="420"/>
      <c r="U32" s="716">
        <f t="shared" ref="U32" si="31">IF(ISERR(U31/U$10),"NA",U31/U$10)</f>
        <v>0.11241145818755363</v>
      </c>
      <c r="V32" s="421"/>
      <c r="X32" s="141"/>
    </row>
    <row r="33" spans="1:24" s="438" customFormat="1" ht="15" hidden="1" customHeight="1" outlineLevel="1" x14ac:dyDescent="0.35">
      <c r="A33" s="433"/>
      <c r="B33" s="434"/>
      <c r="C33" s="767" t="s">
        <v>50</v>
      </c>
      <c r="D33" s="435"/>
      <c r="E33" s="435"/>
      <c r="F33" s="435"/>
      <c r="G33" s="435"/>
      <c r="H33" s="435"/>
      <c r="I33" s="435"/>
      <c r="J33" s="435"/>
      <c r="K33" s="436">
        <f>K31-Assumptions!M27</f>
        <v>0</v>
      </c>
      <c r="L33" s="436">
        <f>L31-Assumptions!N27</f>
        <v>0</v>
      </c>
      <c r="M33" s="741">
        <f>M31-Assumptions!O27</f>
        <v>0</v>
      </c>
      <c r="N33" s="436">
        <f>N31-Assumptions!P27</f>
        <v>0</v>
      </c>
      <c r="O33" s="436">
        <f>O31-Assumptions!Q27</f>
        <v>0</v>
      </c>
      <c r="P33" s="436">
        <f>P31-Assumptions!R27</f>
        <v>0</v>
      </c>
      <c r="Q33" s="436">
        <f>Q31-Assumptions!S27</f>
        <v>0</v>
      </c>
      <c r="R33" s="436">
        <f>R31-Assumptions!T27</f>
        <v>0</v>
      </c>
      <c r="S33" s="436">
        <f>S31-Assumptions!U27</f>
        <v>0</v>
      </c>
      <c r="T33" s="436"/>
      <c r="U33" s="770"/>
      <c r="V33" s="437"/>
      <c r="X33" s="223">
        <f>SUM(K33:S33)</f>
        <v>0</v>
      </c>
    </row>
    <row r="34" spans="1:24" s="18" customFormat="1" ht="15" customHeight="1" collapsed="1" x14ac:dyDescent="0.35">
      <c r="B34" s="190"/>
      <c r="C34" s="422"/>
      <c r="D34" s="422"/>
      <c r="E34" s="422"/>
      <c r="F34" s="36"/>
      <c r="G34" s="36"/>
      <c r="H34" s="36"/>
      <c r="I34" s="36"/>
      <c r="J34" s="36"/>
      <c r="K34" s="423"/>
      <c r="L34" s="423"/>
      <c r="M34" s="424"/>
      <c r="N34" s="423"/>
      <c r="O34" s="423"/>
      <c r="P34" s="423"/>
      <c r="Q34" s="423"/>
      <c r="R34" s="423"/>
      <c r="S34" s="423"/>
      <c r="T34" s="423"/>
      <c r="U34" s="717"/>
      <c r="V34" s="424"/>
      <c r="X34" s="141"/>
    </row>
    <row r="35" spans="1:24" s="18" customFormat="1" ht="15" customHeight="1" x14ac:dyDescent="0.35">
      <c r="C35" s="425"/>
      <c r="D35" s="425"/>
      <c r="E35" s="425"/>
      <c r="F35" s="425"/>
      <c r="G35" s="425"/>
      <c r="H35" s="425"/>
      <c r="I35" s="425"/>
      <c r="J35" s="425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X35" s="141"/>
    </row>
    <row r="36" spans="1:24" s="18" customFormat="1" ht="15" customHeight="1" x14ac:dyDescent="0.3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X36" s="141"/>
    </row>
    <row r="37" spans="1:24" ht="15" customHeight="1" x14ac:dyDescent="0.35">
      <c r="A37" s="137"/>
      <c r="B37" s="137"/>
      <c r="C37" s="303" t="str">
        <f>"All amounts in "&amp;Assumptions!$G$14</f>
        <v>All amounts in USD</v>
      </c>
      <c r="D37" s="303"/>
      <c r="E37" s="303"/>
      <c r="F37" s="303"/>
      <c r="G37" s="303"/>
      <c r="H37" s="303"/>
      <c r="I37" s="303"/>
      <c r="J37" s="303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4" s="13" customFormat="1" ht="15" customHeight="1" x14ac:dyDescent="0.35">
      <c r="A38" s="719">
        <f>MAX(A$1:A37)+1</f>
        <v>2</v>
      </c>
      <c r="B38" s="196"/>
      <c r="C38" s="143" t="s">
        <v>51</v>
      </c>
      <c r="D38" s="143"/>
      <c r="E38" s="143"/>
      <c r="F38" s="143"/>
      <c r="G38" s="143" t="s">
        <v>45</v>
      </c>
      <c r="H38" s="143"/>
      <c r="I38" s="143"/>
      <c r="J38" s="143"/>
      <c r="K38" s="694">
        <f t="shared" ref="K38:U38" ca="1" si="32">K$7</f>
        <v>2024</v>
      </c>
      <c r="L38" s="694">
        <f t="shared" ca="1" si="32"/>
        <v>2025</v>
      </c>
      <c r="M38" s="695">
        <f t="shared" ca="1" si="32"/>
        <v>2026</v>
      </c>
      <c r="N38" s="871">
        <f t="shared" ca="1" si="32"/>
        <v>2026</v>
      </c>
      <c r="O38" s="871">
        <f t="shared" ca="1" si="32"/>
        <v>2027</v>
      </c>
      <c r="P38" s="871">
        <f t="shared" ca="1" si="32"/>
        <v>2028</v>
      </c>
      <c r="Q38" s="871">
        <f t="shared" ca="1" si="32"/>
        <v>2029</v>
      </c>
      <c r="R38" s="871">
        <f t="shared" ca="1" si="32"/>
        <v>2030</v>
      </c>
      <c r="S38" s="871">
        <f t="shared" ca="1" si="32"/>
        <v>2031</v>
      </c>
      <c r="T38" s="703"/>
      <c r="U38" s="704">
        <f t="shared" si="32"/>
        <v>5</v>
      </c>
      <c r="V38" s="197"/>
      <c r="X38" s="223"/>
    </row>
    <row r="39" spans="1:24" s="9" customFormat="1" ht="15" customHeight="1" x14ac:dyDescent="0.35">
      <c r="A39" s="137"/>
      <c r="B39" s="147"/>
      <c r="C39" s="148" t="str">
        <f>C$8</f>
        <v>Forecast Year</v>
      </c>
      <c r="D39" s="148"/>
      <c r="E39" s="148"/>
      <c r="F39" s="149"/>
      <c r="G39" s="149"/>
      <c r="H39" s="149"/>
      <c r="I39" s="150"/>
      <c r="J39" s="149"/>
      <c r="K39" s="150">
        <f t="shared" ref="K39:U39" si="33">K$8</f>
        <v>-2</v>
      </c>
      <c r="L39" s="150">
        <f t="shared" si="33"/>
        <v>-1</v>
      </c>
      <c r="M39" s="152">
        <f t="shared" si="33"/>
        <v>0</v>
      </c>
      <c r="N39" s="150">
        <f t="shared" si="33"/>
        <v>0</v>
      </c>
      <c r="O39" s="150">
        <f t="shared" si="33"/>
        <v>1</v>
      </c>
      <c r="P39" s="150">
        <f t="shared" si="33"/>
        <v>2</v>
      </c>
      <c r="Q39" s="150">
        <f t="shared" si="33"/>
        <v>3</v>
      </c>
      <c r="R39" s="150">
        <f t="shared" si="33"/>
        <v>4</v>
      </c>
      <c r="S39" s="150">
        <f t="shared" si="33"/>
        <v>5</v>
      </c>
      <c r="T39" s="150"/>
      <c r="U39" s="713">
        <f t="shared" si="33"/>
        <v>5</v>
      </c>
      <c r="V39" s="152"/>
      <c r="X39" s="141"/>
    </row>
    <row r="40" spans="1:24" ht="15" customHeight="1" x14ac:dyDescent="0.35">
      <c r="A40" s="137"/>
      <c r="B40" s="153"/>
      <c r="C40" s="137"/>
      <c r="D40" s="137"/>
      <c r="E40" s="137"/>
      <c r="F40" s="137"/>
      <c r="G40" s="137"/>
      <c r="H40" s="137"/>
      <c r="I40" s="137"/>
      <c r="J40" s="137"/>
      <c r="K40" s="19"/>
      <c r="L40" s="19"/>
      <c r="M40" s="31"/>
      <c r="N40" s="19"/>
      <c r="O40" s="19"/>
      <c r="P40" s="19"/>
      <c r="Q40" s="19"/>
      <c r="R40" s="19"/>
      <c r="S40" s="19"/>
      <c r="T40" s="19"/>
      <c r="U40" s="744"/>
      <c r="V40" s="31"/>
    </row>
    <row r="41" spans="1:24" ht="15" customHeight="1" x14ac:dyDescent="0.35">
      <c r="A41" s="137"/>
      <c r="B41" s="153"/>
      <c r="C41" s="19" t="str">
        <f>Assumptions!K32</f>
        <v>Cash</v>
      </c>
      <c r="D41" s="19"/>
      <c r="E41" s="19"/>
      <c r="F41" s="19"/>
      <c r="G41" s="313" t="str">
        <f>Assumptions!$G$14</f>
        <v>USD</v>
      </c>
      <c r="H41" s="19"/>
      <c r="I41" s="19"/>
      <c r="J41" s="19"/>
      <c r="K41" s="2">
        <f>Assumptions!M32</f>
        <v>300000</v>
      </c>
      <c r="L41" s="2">
        <f>Assumptions!N32</f>
        <v>450000</v>
      </c>
      <c r="M41" s="706">
        <f>Assumptions!O32</f>
        <v>600000</v>
      </c>
      <c r="N41" s="3">
        <f>N98</f>
        <v>600000</v>
      </c>
      <c r="O41" s="3">
        <f t="shared" ref="O41:S41" ca="1" si="34">O98</f>
        <v>971699.34309153142</v>
      </c>
      <c r="P41" s="3">
        <f t="shared" ca="1" si="34"/>
        <v>1383738.0834920481</v>
      </c>
      <c r="Q41" s="3">
        <f t="shared" ca="1" si="34"/>
        <v>1846341.9457330317</v>
      </c>
      <c r="R41" s="3">
        <f t="shared" ca="1" si="34"/>
        <v>2063344.9667109591</v>
      </c>
      <c r="S41" s="3">
        <f t="shared" ca="1" si="34"/>
        <v>2543752.2190717403</v>
      </c>
      <c r="T41" s="3"/>
      <c r="U41" s="748">
        <f ca="1">S41</f>
        <v>2543752.2190717403</v>
      </c>
      <c r="V41" s="177"/>
      <c r="X41" s="141">
        <f ca="1">U41-Assumptions!U32</f>
        <v>0</v>
      </c>
    </row>
    <row r="42" spans="1:24" ht="15" customHeight="1" x14ac:dyDescent="0.35">
      <c r="A42" s="137"/>
      <c r="B42" s="153"/>
      <c r="C42" s="19" t="str">
        <f>Assumptions!K33</f>
        <v>Receivables</v>
      </c>
      <c r="D42" s="19"/>
      <c r="E42" s="19"/>
      <c r="F42" s="19"/>
      <c r="G42" s="313" t="str">
        <f>Assumptions!$G$14</f>
        <v>USD</v>
      </c>
      <c r="H42" s="19"/>
      <c r="I42" s="19"/>
      <c r="J42" s="19"/>
      <c r="K42" s="2">
        <f>Assumptions!M33</f>
        <v>600000</v>
      </c>
      <c r="L42" s="2">
        <f>Assumptions!N33</f>
        <v>550000</v>
      </c>
      <c r="M42" s="706">
        <f>Assumptions!O33</f>
        <v>450000</v>
      </c>
      <c r="N42" s="806">
        <f ca="1">N160</f>
        <v>432575.34246575343</v>
      </c>
      <c r="O42" s="806">
        <f t="shared" ref="O42:S42" ca="1" si="35">O160</f>
        <v>465018.49315068492</v>
      </c>
      <c r="P42" s="806">
        <f t="shared" ca="1" si="35"/>
        <v>498529.04713114753</v>
      </c>
      <c r="Q42" s="806">
        <f t="shared" ca="1" si="35"/>
        <v>524889.62414383562</v>
      </c>
      <c r="R42" s="806">
        <f t="shared" ca="1" si="35"/>
        <v>551134.10535102745</v>
      </c>
      <c r="S42" s="806">
        <f t="shared" ca="1" si="35"/>
        <v>578690.81061857892</v>
      </c>
      <c r="T42" s="806"/>
      <c r="U42" s="748">
        <f t="shared" ref="U42:U44" ca="1" si="36">S42</f>
        <v>578690.81061857892</v>
      </c>
      <c r="V42" s="177"/>
      <c r="X42" s="141">
        <f ca="1">U42-Assumptions!U33</f>
        <v>0</v>
      </c>
    </row>
    <row r="43" spans="1:24" ht="15" customHeight="1" x14ac:dyDescent="0.35">
      <c r="A43" s="137"/>
      <c r="B43" s="153"/>
      <c r="C43" s="19" t="str">
        <f>Assumptions!K34</f>
        <v>Inventory</v>
      </c>
      <c r="D43" s="19"/>
      <c r="E43" s="19"/>
      <c r="F43" s="19"/>
      <c r="G43" s="313" t="str">
        <f>Assumptions!$G$14</f>
        <v>USD</v>
      </c>
      <c r="H43" s="19"/>
      <c r="I43" s="19"/>
      <c r="J43" s="19"/>
      <c r="K43" s="2">
        <f>Assumptions!M34</f>
        <v>450000</v>
      </c>
      <c r="L43" s="2">
        <f>Assumptions!N34</f>
        <v>550000</v>
      </c>
      <c r="M43" s="706">
        <f>Assumptions!O34</f>
        <v>350000</v>
      </c>
      <c r="N43" s="806">
        <f ca="1">N161</f>
        <v>108143.83561643836</v>
      </c>
      <c r="O43" s="806">
        <f t="shared" ref="O43:S44" ca="1" si="37">O161</f>
        <v>130205.17808219181</v>
      </c>
      <c r="P43" s="806">
        <f t="shared" ca="1" si="37"/>
        <v>139588.13319672132</v>
      </c>
      <c r="Q43" s="806">
        <f t="shared" ca="1" si="37"/>
        <v>144344.64663955482</v>
      </c>
      <c r="R43" s="806">
        <f t="shared" ca="1" si="37"/>
        <v>151561.87897153257</v>
      </c>
      <c r="S43" s="806">
        <f t="shared" ca="1" si="37"/>
        <v>159139.9729201092</v>
      </c>
      <c r="T43" s="806"/>
      <c r="U43" s="748">
        <f t="shared" ca="1" si="36"/>
        <v>159139.9729201092</v>
      </c>
      <c r="V43" s="177"/>
      <c r="X43" s="141">
        <f ca="1">U43-Assumptions!U34</f>
        <v>0</v>
      </c>
    </row>
    <row r="44" spans="1:24" ht="15" customHeight="1" x14ac:dyDescent="0.35">
      <c r="A44" s="137"/>
      <c r="B44" s="153"/>
      <c r="C44" s="19" t="str">
        <f>Assumptions!K35</f>
        <v>Other Current Assets</v>
      </c>
      <c r="D44" s="19"/>
      <c r="E44" s="19"/>
      <c r="F44" s="19"/>
      <c r="G44" s="313" t="str">
        <f>Assumptions!$G$14</f>
        <v>USD</v>
      </c>
      <c r="H44" s="19"/>
      <c r="I44" s="19"/>
      <c r="J44" s="19"/>
      <c r="K44" s="2">
        <f>Assumptions!M35</f>
        <v>40000</v>
      </c>
      <c r="L44" s="2">
        <f>Assumptions!N35</f>
        <v>40000</v>
      </c>
      <c r="M44" s="706">
        <f>Assumptions!O35</f>
        <v>20000</v>
      </c>
      <c r="N44" s="806">
        <f>N162</f>
        <v>26315</v>
      </c>
      <c r="O44" s="806">
        <f t="shared" si="37"/>
        <v>28288.625</v>
      </c>
      <c r="P44" s="806">
        <f t="shared" si="37"/>
        <v>30410.271875000002</v>
      </c>
      <c r="Q44" s="806">
        <f t="shared" si="37"/>
        <v>31930.78546875</v>
      </c>
      <c r="R44" s="806">
        <f t="shared" si="37"/>
        <v>33527.324742187506</v>
      </c>
      <c r="S44" s="806">
        <f t="shared" si="37"/>
        <v>35203.69097929688</v>
      </c>
      <c r="T44" s="806"/>
      <c r="U44" s="748">
        <f t="shared" si="36"/>
        <v>35203.69097929688</v>
      </c>
      <c r="V44" s="177"/>
      <c r="X44" s="141">
        <f>U44-Assumptions!U35</f>
        <v>0</v>
      </c>
    </row>
    <row r="45" spans="1:24" ht="15" customHeight="1" x14ac:dyDescent="0.35">
      <c r="A45" s="137"/>
      <c r="B45" s="153"/>
      <c r="C45" s="83" t="str">
        <f>Assumptions!K36</f>
        <v>Current Assets</v>
      </c>
      <c r="D45" s="83"/>
      <c r="E45" s="83"/>
      <c r="F45" s="83"/>
      <c r="G45" s="447" t="str">
        <f>Assumptions!$G$14</f>
        <v>USD</v>
      </c>
      <c r="H45" s="83"/>
      <c r="I45" s="83"/>
      <c r="J45" s="83"/>
      <c r="K45" s="4">
        <f>SUM(K41:K44)</f>
        <v>1390000</v>
      </c>
      <c r="L45" s="4">
        <f t="shared" ref="L45:S45" si="38">SUM(L41:L44)</f>
        <v>1590000</v>
      </c>
      <c r="M45" s="738">
        <f t="shared" si="38"/>
        <v>1420000</v>
      </c>
      <c r="N45" s="4">
        <f t="shared" ca="1" si="38"/>
        <v>1167034.1780821919</v>
      </c>
      <c r="O45" s="4">
        <f t="shared" ca="1" si="38"/>
        <v>1595211.6393244083</v>
      </c>
      <c r="P45" s="4">
        <f t="shared" ca="1" si="38"/>
        <v>2052265.535694917</v>
      </c>
      <c r="Q45" s="4">
        <f t="shared" ca="1" si="38"/>
        <v>2547507.0019851723</v>
      </c>
      <c r="R45" s="4">
        <f t="shared" ca="1" si="38"/>
        <v>2799568.2757757064</v>
      </c>
      <c r="S45" s="4">
        <f t="shared" ca="1" si="38"/>
        <v>3316786.6935897251</v>
      </c>
      <c r="T45" s="810"/>
      <c r="U45" s="746">
        <f ca="1">SUM(U41:U44)</f>
        <v>3316786.6935897251</v>
      </c>
      <c r="V45" s="177"/>
      <c r="X45" s="141">
        <f ca="1">U45-Assumptions!U36</f>
        <v>0</v>
      </c>
    </row>
    <row r="46" spans="1:24" s="18" customFormat="1" ht="15" customHeight="1" x14ac:dyDescent="0.35">
      <c r="B46" s="160"/>
      <c r="C46" s="19"/>
      <c r="D46" s="19"/>
      <c r="E46" s="19"/>
      <c r="F46" s="19"/>
      <c r="G46" s="313"/>
      <c r="H46" s="9"/>
      <c r="I46" s="9"/>
      <c r="J46" s="9"/>
      <c r="K46" s="2"/>
      <c r="L46" s="2"/>
      <c r="M46" s="706"/>
      <c r="N46" s="2"/>
      <c r="O46" s="2"/>
      <c r="P46" s="412"/>
      <c r="Q46" s="412"/>
      <c r="R46" s="412"/>
      <c r="S46" s="412"/>
      <c r="T46" s="412"/>
      <c r="U46" s="800"/>
      <c r="V46" s="184"/>
      <c r="X46" s="141"/>
    </row>
    <row r="47" spans="1:24" s="18" customFormat="1" ht="15" customHeight="1" x14ac:dyDescent="0.35">
      <c r="B47" s="160"/>
      <c r="C47" s="19" t="str">
        <f>Assumptions!K38</f>
        <v>Capital Expenditures</v>
      </c>
      <c r="D47" s="19"/>
      <c r="E47" s="19"/>
      <c r="F47" s="19"/>
      <c r="G47" s="313" t="str">
        <f>Assumptions!$G$14</f>
        <v>USD</v>
      </c>
      <c r="H47" s="9"/>
      <c r="I47" s="9"/>
      <c r="J47" s="9"/>
      <c r="K47" s="2">
        <f>Assumptions!M38</f>
        <v>1900000</v>
      </c>
      <c r="L47" s="2">
        <f>Assumptions!N38</f>
        <v>2000000</v>
      </c>
      <c r="M47" s="706">
        <f>Assumptions!O38</f>
        <v>2250000</v>
      </c>
      <c r="N47" s="71">
        <f>N189</f>
        <v>1500000</v>
      </c>
      <c r="O47" s="71">
        <f t="shared" ref="O47:S47" si="39">O189</f>
        <v>1200000</v>
      </c>
      <c r="P47" s="71">
        <f t="shared" si="39"/>
        <v>900000</v>
      </c>
      <c r="Q47" s="71">
        <f t="shared" si="39"/>
        <v>600000</v>
      </c>
      <c r="R47" s="71">
        <f t="shared" si="39"/>
        <v>550000</v>
      </c>
      <c r="S47" s="71">
        <f t="shared" si="39"/>
        <v>200000</v>
      </c>
      <c r="T47" s="71"/>
      <c r="U47" s="801">
        <f>U189</f>
        <v>200000</v>
      </c>
      <c r="V47" s="184"/>
      <c r="X47" s="141">
        <f>U47-Assumptions!U38</f>
        <v>0</v>
      </c>
    </row>
    <row r="48" spans="1:24" s="18" customFormat="1" ht="15" customHeight="1" x14ac:dyDescent="0.35">
      <c r="B48" s="160"/>
      <c r="C48" s="83" t="str">
        <f>Assumptions!K39</f>
        <v>Fixed Assets</v>
      </c>
      <c r="D48" s="83"/>
      <c r="E48" s="83"/>
      <c r="F48" s="83"/>
      <c r="G48" s="447" t="str">
        <f>Assumptions!$G$14</f>
        <v>USD</v>
      </c>
      <c r="H48" s="84"/>
      <c r="I48" s="84"/>
      <c r="J48" s="84"/>
      <c r="K48" s="4">
        <f>SUM(K47)</f>
        <v>1900000</v>
      </c>
      <c r="L48" s="4">
        <f t="shared" ref="L48:U48" si="40">SUM(L47)</f>
        <v>2000000</v>
      </c>
      <c r="M48" s="738">
        <f t="shared" si="40"/>
        <v>2250000</v>
      </c>
      <c r="N48" s="4">
        <f t="shared" si="40"/>
        <v>1500000</v>
      </c>
      <c r="O48" s="4">
        <f t="shared" si="40"/>
        <v>1200000</v>
      </c>
      <c r="P48" s="4">
        <f t="shared" si="40"/>
        <v>900000</v>
      </c>
      <c r="Q48" s="4">
        <f t="shared" si="40"/>
        <v>600000</v>
      </c>
      <c r="R48" s="4">
        <f t="shared" si="40"/>
        <v>550000</v>
      </c>
      <c r="S48" s="4">
        <f t="shared" si="40"/>
        <v>200000</v>
      </c>
      <c r="T48" s="408"/>
      <c r="U48" s="746">
        <f t="shared" si="40"/>
        <v>200000</v>
      </c>
      <c r="V48" s="184"/>
      <c r="X48" s="141">
        <f>U48-Assumptions!U39</f>
        <v>0</v>
      </c>
    </row>
    <row r="49" spans="2:24" s="18" customFormat="1" ht="15" customHeight="1" x14ac:dyDescent="0.35">
      <c r="B49" s="160"/>
      <c r="C49" s="19"/>
      <c r="D49" s="86"/>
      <c r="E49" s="86"/>
      <c r="F49" s="86"/>
      <c r="G49" s="427"/>
      <c r="H49" s="36"/>
      <c r="I49" s="36"/>
      <c r="J49" s="36"/>
      <c r="K49" s="2"/>
      <c r="L49" s="2"/>
      <c r="M49" s="706"/>
      <c r="N49" s="428"/>
      <c r="O49" s="428"/>
      <c r="P49" s="428"/>
      <c r="Q49" s="428"/>
      <c r="R49" s="428"/>
      <c r="S49" s="428"/>
      <c r="T49" s="428"/>
      <c r="U49" s="802"/>
      <c r="V49" s="184"/>
      <c r="X49" s="141"/>
    </row>
    <row r="50" spans="2:24" s="18" customFormat="1" ht="15" customHeight="1" x14ac:dyDescent="0.35">
      <c r="B50" s="160"/>
      <c r="C50" s="429" t="s">
        <v>27</v>
      </c>
      <c r="D50" s="429"/>
      <c r="E50" s="429"/>
      <c r="F50" s="429"/>
      <c r="G50" s="430" t="str">
        <f>Assumptions!$G$14</f>
        <v>USD</v>
      </c>
      <c r="H50" s="416"/>
      <c r="I50" s="416"/>
      <c r="J50" s="416"/>
      <c r="K50" s="70">
        <f>SUM(K48,K45)</f>
        <v>3290000</v>
      </c>
      <c r="L50" s="70">
        <f t="shared" ref="L50:U50" si="41">SUM(L48,L45)</f>
        <v>3590000</v>
      </c>
      <c r="M50" s="739">
        <f t="shared" si="41"/>
        <v>3670000</v>
      </c>
      <c r="N50" s="70">
        <f t="shared" ca="1" si="41"/>
        <v>2667034.1780821919</v>
      </c>
      <c r="O50" s="70">
        <f t="shared" ca="1" si="41"/>
        <v>2795211.639324408</v>
      </c>
      <c r="P50" s="70">
        <f t="shared" ca="1" si="41"/>
        <v>2952265.5356949167</v>
      </c>
      <c r="Q50" s="70">
        <f t="shared" ca="1" si="41"/>
        <v>3147507.0019851723</v>
      </c>
      <c r="R50" s="70">
        <f t="shared" ca="1" si="41"/>
        <v>3349568.2757757064</v>
      </c>
      <c r="S50" s="70">
        <f t="shared" ca="1" si="41"/>
        <v>3516786.6935897251</v>
      </c>
      <c r="T50" s="70"/>
      <c r="U50" s="803">
        <f t="shared" ca="1" si="41"/>
        <v>3516786.6935897251</v>
      </c>
      <c r="V50" s="6"/>
      <c r="X50" s="141">
        <f ca="1">U50-Assumptions!U41</f>
        <v>0</v>
      </c>
    </row>
    <row r="51" spans="2:24" s="18" customFormat="1" ht="15" customHeight="1" x14ac:dyDescent="0.35">
      <c r="B51" s="160"/>
      <c r="C51" s="9"/>
      <c r="D51" s="9"/>
      <c r="E51" s="9"/>
      <c r="F51" s="9"/>
      <c r="G51" s="9"/>
      <c r="H51" s="9"/>
      <c r="I51" s="9"/>
      <c r="J51" s="9"/>
      <c r="K51" s="183"/>
      <c r="L51" s="183"/>
      <c r="M51" s="431"/>
      <c r="N51" s="183"/>
      <c r="O51" s="183"/>
      <c r="P51" s="183"/>
      <c r="Q51" s="183"/>
      <c r="R51" s="183"/>
      <c r="S51" s="183"/>
      <c r="T51" s="183"/>
      <c r="U51" s="804"/>
      <c r="V51" s="431"/>
      <c r="X51" s="141"/>
    </row>
    <row r="52" spans="2:24" s="18" customFormat="1" ht="15" customHeight="1" x14ac:dyDescent="0.35">
      <c r="B52" s="160"/>
      <c r="C52" s="9"/>
      <c r="D52" s="9"/>
      <c r="E52" s="9"/>
      <c r="F52" s="9"/>
      <c r="G52" s="9"/>
      <c r="H52" s="9"/>
      <c r="I52" s="9"/>
      <c r="J52" s="9"/>
      <c r="K52" s="183"/>
      <c r="L52" s="183"/>
      <c r="M52" s="431"/>
      <c r="N52" s="183"/>
      <c r="O52" s="183"/>
      <c r="P52" s="183"/>
      <c r="Q52" s="183"/>
      <c r="R52" s="183"/>
      <c r="S52" s="183"/>
      <c r="T52" s="183"/>
      <c r="U52" s="804"/>
      <c r="V52" s="431"/>
      <c r="X52" s="141"/>
    </row>
    <row r="53" spans="2:24" s="137" customFormat="1" ht="15" customHeight="1" x14ac:dyDescent="0.35">
      <c r="B53" s="153"/>
      <c r="C53" s="19" t="str">
        <f>Assumptions!K43</f>
        <v>Short-Term Provisions</v>
      </c>
      <c r="D53" s="19"/>
      <c r="E53" s="19"/>
      <c r="F53" s="19"/>
      <c r="G53" s="313" t="str">
        <f>Assumptions!$G$14</f>
        <v>USD</v>
      </c>
      <c r="H53" s="19"/>
      <c r="I53" s="19"/>
      <c r="J53" s="19"/>
      <c r="K53" s="830">
        <f>Assumptions!M43</f>
        <v>0</v>
      </c>
      <c r="L53" s="830">
        <f>Assumptions!N43</f>
        <v>0</v>
      </c>
      <c r="M53" s="831">
        <f>Assumptions!O43</f>
        <v>0</v>
      </c>
      <c r="N53" s="830">
        <f>Assumptions!P43</f>
        <v>0</v>
      </c>
      <c r="O53" s="830">
        <f>Assumptions!Q43</f>
        <v>0</v>
      </c>
      <c r="P53" s="830">
        <f>Assumptions!R43</f>
        <v>0</v>
      </c>
      <c r="Q53" s="830">
        <f>Assumptions!S43</f>
        <v>0</v>
      </c>
      <c r="R53" s="830">
        <f>Assumptions!T43</f>
        <v>0</v>
      </c>
      <c r="S53" s="830">
        <f>Assumptions!U43</f>
        <v>0</v>
      </c>
      <c r="T53" s="806"/>
      <c r="U53" s="748">
        <f t="shared" ref="U53:U55" si="42">S53</f>
        <v>0</v>
      </c>
      <c r="V53" s="832"/>
      <c r="X53" s="141">
        <f>U53-Assumptions!U43</f>
        <v>0</v>
      </c>
    </row>
    <row r="54" spans="2:24" s="137" customFormat="1" ht="15" customHeight="1" x14ac:dyDescent="0.35">
      <c r="B54" s="153"/>
      <c r="C54" s="19" t="str">
        <f>Assumptions!K44</f>
        <v>Payables</v>
      </c>
      <c r="D54" s="19"/>
      <c r="E54" s="19"/>
      <c r="F54" s="19"/>
      <c r="G54" s="313" t="str">
        <f>Assumptions!$G$14</f>
        <v>USD</v>
      </c>
      <c r="H54" s="19"/>
      <c r="I54" s="19"/>
      <c r="J54" s="19"/>
      <c r="K54" s="830">
        <f>Assumptions!M44</f>
        <v>230000</v>
      </c>
      <c r="L54" s="830">
        <f>Assumptions!N44</f>
        <v>330000</v>
      </c>
      <c r="M54" s="831">
        <f>Assumptions!O44</f>
        <v>340000</v>
      </c>
      <c r="N54" s="806">
        <f ca="1">-N164</f>
        <v>144191.78082191781</v>
      </c>
      <c r="O54" s="806">
        <f t="shared" ref="O54:S55" ca="1" si="43">-O164</f>
        <v>173606.90410958906</v>
      </c>
      <c r="P54" s="806">
        <f t="shared" ca="1" si="43"/>
        <v>186117.51092896174</v>
      </c>
      <c r="Q54" s="806">
        <f t="shared" ca="1" si="43"/>
        <v>192459.52885273972</v>
      </c>
      <c r="R54" s="806">
        <f t="shared" ca="1" si="43"/>
        <v>202082.50529537676</v>
      </c>
      <c r="S54" s="806">
        <f t="shared" ca="1" si="43"/>
        <v>212186.6305601456</v>
      </c>
      <c r="T54" s="806"/>
      <c r="U54" s="748">
        <f t="shared" ca="1" si="42"/>
        <v>212186.6305601456</v>
      </c>
      <c r="V54" s="832"/>
      <c r="X54" s="141">
        <f ca="1">U54-Assumptions!U44</f>
        <v>0</v>
      </c>
    </row>
    <row r="55" spans="2:24" s="137" customFormat="1" ht="15" customHeight="1" x14ac:dyDescent="0.35">
      <c r="B55" s="153"/>
      <c r="C55" s="19" t="str">
        <f>Assumptions!K45</f>
        <v>Other Current Liabilities</v>
      </c>
      <c r="D55" s="19"/>
      <c r="E55" s="19"/>
      <c r="F55" s="19"/>
      <c r="G55" s="313" t="str">
        <f>Assumptions!$G$14</f>
        <v>USD</v>
      </c>
      <c r="H55" s="19"/>
      <c r="I55" s="19"/>
      <c r="J55" s="19"/>
      <c r="K55" s="830">
        <f>Assumptions!M45</f>
        <v>40000</v>
      </c>
      <c r="L55" s="830">
        <f>Assumptions!N45</f>
        <v>40000</v>
      </c>
      <c r="M55" s="831">
        <f>Assumptions!O45</f>
        <v>10000</v>
      </c>
      <c r="N55" s="806">
        <f>-N165</f>
        <v>13157.5</v>
      </c>
      <c r="O55" s="806">
        <f t="shared" si="43"/>
        <v>15841.630000000003</v>
      </c>
      <c r="P55" s="806">
        <f t="shared" si="43"/>
        <v>17029.752250000001</v>
      </c>
      <c r="Q55" s="806">
        <f t="shared" si="43"/>
        <v>17561.932007812502</v>
      </c>
      <c r="R55" s="806">
        <f t="shared" si="43"/>
        <v>18440.028608203127</v>
      </c>
      <c r="S55" s="806">
        <f t="shared" si="43"/>
        <v>19362.030038613288</v>
      </c>
      <c r="T55" s="806"/>
      <c r="U55" s="748">
        <f t="shared" si="42"/>
        <v>19362.030038613288</v>
      </c>
      <c r="V55" s="832"/>
      <c r="X55" s="141">
        <f>U55-Assumptions!U45</f>
        <v>0</v>
      </c>
    </row>
    <row r="56" spans="2:24" s="18" customFormat="1" ht="15" customHeight="1" x14ac:dyDescent="0.35">
      <c r="B56" s="160"/>
      <c r="C56" s="83" t="str">
        <f>Assumptions!K46</f>
        <v>Short-term Liabilities</v>
      </c>
      <c r="D56" s="83"/>
      <c r="E56" s="83"/>
      <c r="F56" s="83"/>
      <c r="G56" s="447" t="str">
        <f>Assumptions!$G$14</f>
        <v>USD</v>
      </c>
      <c r="H56" s="84"/>
      <c r="I56" s="84"/>
      <c r="J56" s="84"/>
      <c r="K56" s="4">
        <f>SUM(K53:K55)</f>
        <v>270000</v>
      </c>
      <c r="L56" s="4">
        <f t="shared" ref="L56:U56" si="44">SUM(L53:L55)</f>
        <v>370000</v>
      </c>
      <c r="M56" s="738">
        <f t="shared" si="44"/>
        <v>350000</v>
      </c>
      <c r="N56" s="4">
        <f t="shared" ca="1" si="44"/>
        <v>157349.28082191781</v>
      </c>
      <c r="O56" s="4">
        <f t="shared" ca="1" si="44"/>
        <v>189448.53410958906</v>
      </c>
      <c r="P56" s="4">
        <f t="shared" ca="1" si="44"/>
        <v>203147.26317896173</v>
      </c>
      <c r="Q56" s="4">
        <f t="shared" ca="1" si="44"/>
        <v>210021.46086055221</v>
      </c>
      <c r="R56" s="4">
        <f t="shared" ca="1" si="44"/>
        <v>220522.5339035799</v>
      </c>
      <c r="S56" s="4">
        <f t="shared" ca="1" si="44"/>
        <v>231548.6605987589</v>
      </c>
      <c r="T56" s="408"/>
      <c r="U56" s="746">
        <f t="shared" ca="1" si="44"/>
        <v>231548.6605987589</v>
      </c>
      <c r="V56" s="184"/>
      <c r="X56" s="141">
        <f ca="1">U56-Assumptions!U46</f>
        <v>0</v>
      </c>
    </row>
    <row r="57" spans="2:24" s="18" customFormat="1" ht="15" customHeight="1" x14ac:dyDescent="0.35">
      <c r="B57" s="160"/>
      <c r="C57" s="66"/>
      <c r="D57" s="66"/>
      <c r="E57" s="66"/>
      <c r="F57" s="66"/>
      <c r="G57" s="442"/>
      <c r="H57" s="41"/>
      <c r="I57" s="41"/>
      <c r="J57" s="41"/>
      <c r="K57" s="722"/>
      <c r="L57" s="722"/>
      <c r="M57" s="740"/>
      <c r="N57" s="722"/>
      <c r="O57" s="722"/>
      <c r="P57" s="722"/>
      <c r="Q57" s="722"/>
      <c r="R57" s="722"/>
      <c r="S57" s="722"/>
      <c r="T57" s="404"/>
      <c r="U57" s="747"/>
      <c r="V57" s="184"/>
      <c r="X57" s="141"/>
    </row>
    <row r="58" spans="2:24" s="18" customFormat="1" ht="15" customHeight="1" x14ac:dyDescent="0.35">
      <c r="B58" s="160"/>
      <c r="C58" s="19" t="str">
        <f>Assumptions!K48</f>
        <v>Long-Term Provisions</v>
      </c>
      <c r="D58" s="19"/>
      <c r="E58" s="19"/>
      <c r="F58" s="19"/>
      <c r="G58" s="313" t="str">
        <f>Assumptions!$G$14</f>
        <v>USD</v>
      </c>
      <c r="H58" s="9"/>
      <c r="I58" s="9"/>
      <c r="J58" s="9"/>
      <c r="K58" s="356">
        <f>Assumptions!M48</f>
        <v>0</v>
      </c>
      <c r="L58" s="356">
        <f>Assumptions!N48</f>
        <v>0</v>
      </c>
      <c r="M58" s="733">
        <f>Assumptions!O48</f>
        <v>0</v>
      </c>
      <c r="N58" s="356">
        <f>Assumptions!P48</f>
        <v>0</v>
      </c>
      <c r="O58" s="356">
        <f>Assumptions!Q48</f>
        <v>0</v>
      </c>
      <c r="P58" s="356">
        <f>Assumptions!R48</f>
        <v>0</v>
      </c>
      <c r="Q58" s="356">
        <f>Assumptions!S48</f>
        <v>0</v>
      </c>
      <c r="R58" s="356">
        <f>Assumptions!T48</f>
        <v>0</v>
      </c>
      <c r="S58" s="356">
        <f>Assumptions!U48</f>
        <v>0</v>
      </c>
      <c r="T58" s="71"/>
      <c r="U58" s="748">
        <f t="shared" ref="U58" si="45">S58</f>
        <v>0</v>
      </c>
      <c r="V58" s="432"/>
      <c r="X58" s="141">
        <f>U58-Assumptions!U48</f>
        <v>0</v>
      </c>
    </row>
    <row r="59" spans="2:24" s="18" customFormat="1" ht="15" customHeight="1" x14ac:dyDescent="0.35">
      <c r="B59" s="160"/>
      <c r="C59" s="19" t="str">
        <f>Assumptions!K49</f>
        <v>Financial Debt</v>
      </c>
      <c r="D59" s="19"/>
      <c r="E59" s="19"/>
      <c r="F59" s="19"/>
      <c r="G59" s="313" t="str">
        <f>Assumptions!$G$14</f>
        <v>USD</v>
      </c>
      <c r="H59" s="9"/>
      <c r="I59" s="9"/>
      <c r="J59" s="9"/>
      <c r="K59" s="356">
        <f>Assumptions!M49</f>
        <v>1500000</v>
      </c>
      <c r="L59" s="356">
        <f>Assumptions!N49</f>
        <v>1650000</v>
      </c>
      <c r="M59" s="733">
        <f>Assumptions!O49</f>
        <v>2000000</v>
      </c>
      <c r="N59" s="356">
        <f>Assumptions!P49</f>
        <v>2000000</v>
      </c>
      <c r="O59" s="356">
        <f>Assumptions!Q49</f>
        <v>1700000</v>
      </c>
      <c r="P59" s="356">
        <f>Assumptions!R49</f>
        <v>1400000</v>
      </c>
      <c r="Q59" s="356">
        <f>Assumptions!S49</f>
        <v>1100000</v>
      </c>
      <c r="R59" s="356">
        <f>Assumptions!T49</f>
        <v>800000</v>
      </c>
      <c r="S59" s="356">
        <f>Assumptions!U49</f>
        <v>500000</v>
      </c>
      <c r="T59" s="71"/>
      <c r="U59" s="801">
        <f>S59</f>
        <v>500000</v>
      </c>
      <c r="V59" s="432"/>
      <c r="X59" s="141">
        <f>U59-Assumptions!U49</f>
        <v>0</v>
      </c>
    </row>
    <row r="60" spans="2:24" s="18" customFormat="1" ht="15" customHeight="1" x14ac:dyDescent="0.35">
      <c r="B60" s="160"/>
      <c r="C60" s="83" t="str">
        <f>Assumptions!K50</f>
        <v>Long-term Liabilities</v>
      </c>
      <c r="D60" s="83"/>
      <c r="E60" s="83"/>
      <c r="F60" s="83"/>
      <c r="G60" s="447" t="str">
        <f>Assumptions!$G$14</f>
        <v>USD</v>
      </c>
      <c r="H60" s="84"/>
      <c r="I60" s="84"/>
      <c r="J60" s="84"/>
      <c r="K60" s="4">
        <f>SUM(K58:K59)</f>
        <v>1500000</v>
      </c>
      <c r="L60" s="4">
        <f t="shared" ref="L60:U60" si="46">SUM(L58:L59)</f>
        <v>1650000</v>
      </c>
      <c r="M60" s="738">
        <f t="shared" si="46"/>
        <v>2000000</v>
      </c>
      <c r="N60" s="4">
        <f t="shared" si="46"/>
        <v>2000000</v>
      </c>
      <c r="O60" s="4">
        <f t="shared" si="46"/>
        <v>1700000</v>
      </c>
      <c r="P60" s="4">
        <f t="shared" si="46"/>
        <v>1400000</v>
      </c>
      <c r="Q60" s="4">
        <f t="shared" si="46"/>
        <v>1100000</v>
      </c>
      <c r="R60" s="4">
        <f t="shared" si="46"/>
        <v>800000</v>
      </c>
      <c r="S60" s="4">
        <f t="shared" si="46"/>
        <v>500000</v>
      </c>
      <c r="T60" s="408"/>
      <c r="U60" s="746">
        <f t="shared" si="46"/>
        <v>500000</v>
      </c>
      <c r="V60" s="184"/>
      <c r="X60" s="141">
        <f>U60-Assumptions!U50</f>
        <v>0</v>
      </c>
    </row>
    <row r="61" spans="2:24" s="18" customFormat="1" ht="15" customHeight="1" x14ac:dyDescent="0.35">
      <c r="B61" s="160"/>
      <c r="C61" s="66"/>
      <c r="D61" s="66"/>
      <c r="E61" s="66"/>
      <c r="F61" s="66"/>
      <c r="G61" s="442"/>
      <c r="H61" s="41"/>
      <c r="I61" s="41"/>
      <c r="J61" s="41"/>
      <c r="K61" s="722"/>
      <c r="L61" s="722"/>
      <c r="M61" s="740"/>
      <c r="N61" s="722"/>
      <c r="O61" s="722"/>
      <c r="P61" s="722"/>
      <c r="Q61" s="722"/>
      <c r="R61" s="722"/>
      <c r="S61" s="722"/>
      <c r="T61" s="404"/>
      <c r="U61" s="747"/>
      <c r="V61" s="184"/>
      <c r="X61" s="141"/>
    </row>
    <row r="62" spans="2:24" s="13" customFormat="1" ht="15" customHeight="1" x14ac:dyDescent="0.35">
      <c r="B62" s="185"/>
      <c r="C62" s="66" t="str">
        <f>Assumptions!K52</f>
        <v>Shareholder's Equity</v>
      </c>
      <c r="D62" s="66"/>
      <c r="E62" s="66"/>
      <c r="F62" s="66"/>
      <c r="G62" s="442" t="str">
        <f>Assumptions!$G$14</f>
        <v>USD</v>
      </c>
      <c r="H62" s="41"/>
      <c r="I62" s="41"/>
      <c r="J62" s="41"/>
      <c r="K62" s="451">
        <f>K50-SUM(K60,K56)</f>
        <v>1520000</v>
      </c>
      <c r="L62" s="451">
        <f t="shared" ref="L62:M62" si="47">L50-SUM(L60,L56)</f>
        <v>1570000</v>
      </c>
      <c r="M62" s="6">
        <f t="shared" si="47"/>
        <v>1320000</v>
      </c>
      <c r="N62" s="451">
        <f ca="1">N50-SUM(N56,N60)</f>
        <v>509684.89726027427</v>
      </c>
      <c r="O62" s="451">
        <f ca="1">N62+O31+O92</f>
        <v>905763.10521481954</v>
      </c>
      <c r="P62" s="451">
        <f t="shared" ref="P62:S62" ca="1" si="48">O62+P31+P92</f>
        <v>1349118.2725159556</v>
      </c>
      <c r="Q62" s="451">
        <f t="shared" ca="1" si="48"/>
        <v>1837485.54112462</v>
      </c>
      <c r="R62" s="451">
        <f t="shared" ca="1" si="48"/>
        <v>2329045.7418721272</v>
      </c>
      <c r="S62" s="451">
        <f t="shared" ca="1" si="48"/>
        <v>2785238.0329909665</v>
      </c>
      <c r="T62" s="451"/>
      <c r="U62" s="805">
        <f ca="1">S62</f>
        <v>2785238.0329909665</v>
      </c>
      <c r="V62" s="723"/>
      <c r="X62" s="141">
        <f ca="1">U62-Assumptions!U52</f>
        <v>0</v>
      </c>
    </row>
    <row r="63" spans="2:24" s="18" customFormat="1" ht="15" customHeight="1" x14ac:dyDescent="0.35">
      <c r="B63" s="160"/>
      <c r="C63" s="86"/>
      <c r="D63" s="86"/>
      <c r="E63" s="86"/>
      <c r="F63" s="86"/>
      <c r="G63" s="427"/>
      <c r="H63" s="36"/>
      <c r="I63" s="36"/>
      <c r="J63" s="36"/>
      <c r="K63" s="428"/>
      <c r="L63" s="428"/>
      <c r="M63" s="705"/>
      <c r="N63" s="428"/>
      <c r="O63" s="428"/>
      <c r="P63" s="428"/>
      <c r="Q63" s="428"/>
      <c r="R63" s="428"/>
      <c r="S63" s="428"/>
      <c r="T63" s="428"/>
      <c r="U63" s="802"/>
      <c r="V63" s="432"/>
      <c r="X63" s="141"/>
    </row>
    <row r="64" spans="2:24" s="18" customFormat="1" ht="15" customHeight="1" x14ac:dyDescent="0.35">
      <c r="B64" s="160"/>
      <c r="C64" s="429" t="str">
        <f>Assumptions!K54</f>
        <v>Liabilities &amp; Shareholder's Equity</v>
      </c>
      <c r="D64" s="429"/>
      <c r="E64" s="429"/>
      <c r="F64" s="429"/>
      <c r="G64" s="430" t="str">
        <f>Assumptions!$G$14</f>
        <v>USD</v>
      </c>
      <c r="H64" s="416"/>
      <c r="I64" s="416"/>
      <c r="J64" s="416"/>
      <c r="K64" s="70">
        <f>SUM(K62,K60,K56)</f>
        <v>3290000</v>
      </c>
      <c r="L64" s="70">
        <f t="shared" ref="L64:U64" si="49">SUM(L62,L60,L56)</f>
        <v>3590000</v>
      </c>
      <c r="M64" s="739">
        <f t="shared" si="49"/>
        <v>3670000</v>
      </c>
      <c r="N64" s="70">
        <f ca="1">SUM(N62,N60,N56)</f>
        <v>2667034.1780821923</v>
      </c>
      <c r="O64" s="70">
        <f t="shared" ca="1" si="49"/>
        <v>2795211.6393244085</v>
      </c>
      <c r="P64" s="70">
        <f t="shared" ca="1" si="49"/>
        <v>2952265.5356949172</v>
      </c>
      <c r="Q64" s="70">
        <f t="shared" ca="1" si="49"/>
        <v>3147507.0019851723</v>
      </c>
      <c r="R64" s="70">
        <f t="shared" ca="1" si="49"/>
        <v>3349568.2757757069</v>
      </c>
      <c r="S64" s="70">
        <f t="shared" ca="1" si="49"/>
        <v>3516786.6935897255</v>
      </c>
      <c r="T64" s="70"/>
      <c r="U64" s="803">
        <f t="shared" ca="1" si="49"/>
        <v>3516786.6935897255</v>
      </c>
      <c r="V64" s="6"/>
      <c r="X64" s="141">
        <f ca="1">U64-Assumptions!U54</f>
        <v>0</v>
      </c>
    </row>
    <row r="65" spans="1:24" s="438" customFormat="1" ht="15" hidden="1" customHeight="1" outlineLevel="1" x14ac:dyDescent="0.35">
      <c r="A65" s="433"/>
      <c r="B65" s="434"/>
      <c r="C65" s="767" t="s">
        <v>50</v>
      </c>
      <c r="D65" s="435"/>
      <c r="E65" s="435"/>
      <c r="F65" s="435"/>
      <c r="G65" s="435"/>
      <c r="H65" s="435"/>
      <c r="I65" s="435"/>
      <c r="J65" s="435"/>
      <c r="K65" s="436">
        <f t="shared" ref="K65:S65" si="50">K50-K64</f>
        <v>0</v>
      </c>
      <c r="L65" s="436">
        <f t="shared" si="50"/>
        <v>0</v>
      </c>
      <c r="M65" s="741">
        <f t="shared" si="50"/>
        <v>0</v>
      </c>
      <c r="N65" s="436">
        <f t="shared" ref="N65" ca="1" si="51">N50-N64</f>
        <v>0</v>
      </c>
      <c r="O65" s="436">
        <f t="shared" ca="1" si="50"/>
        <v>0</v>
      </c>
      <c r="P65" s="436">
        <f t="shared" ca="1" si="50"/>
        <v>0</v>
      </c>
      <c r="Q65" s="436">
        <f t="shared" ca="1" si="50"/>
        <v>0</v>
      </c>
      <c r="R65" s="436">
        <f t="shared" ca="1" si="50"/>
        <v>0</v>
      </c>
      <c r="S65" s="436">
        <f t="shared" ca="1" si="50"/>
        <v>0</v>
      </c>
      <c r="T65" s="436"/>
      <c r="U65" s="770">
        <f t="shared" ref="U65" ca="1" si="52">U50-U64</f>
        <v>0</v>
      </c>
      <c r="V65" s="437"/>
      <c r="X65" s="223">
        <f ca="1">SUM(K65:V65)</f>
        <v>0</v>
      </c>
    </row>
    <row r="66" spans="1:24" s="18" customFormat="1" ht="15" customHeight="1" collapsed="1" x14ac:dyDescent="0.35">
      <c r="B66" s="190"/>
      <c r="C66" s="36"/>
      <c r="D66" s="36"/>
      <c r="E66" s="36"/>
      <c r="F66" s="36"/>
      <c r="G66" s="36"/>
      <c r="H66" s="36"/>
      <c r="I66" s="36"/>
      <c r="J66" s="36"/>
      <c r="K66" s="439"/>
      <c r="L66" s="439"/>
      <c r="M66" s="440"/>
      <c r="N66" s="439"/>
      <c r="O66" s="439"/>
      <c r="P66" s="439"/>
      <c r="Q66" s="439"/>
      <c r="R66" s="439"/>
      <c r="S66" s="439"/>
      <c r="T66" s="439"/>
      <c r="U66" s="750"/>
      <c r="V66" s="440"/>
      <c r="X66" s="141"/>
    </row>
    <row r="67" spans="1:24" s="18" customFormat="1" ht="15" customHeight="1" x14ac:dyDescent="0.35">
      <c r="C67" s="9"/>
      <c r="D67" s="9"/>
      <c r="E67" s="9"/>
      <c r="F67" s="9"/>
      <c r="G67" s="9"/>
      <c r="H67" s="9"/>
      <c r="I67" s="9"/>
      <c r="J67" s="9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X67" s="141"/>
    </row>
    <row r="68" spans="1:24" s="18" customFormat="1" ht="15" customHeight="1" x14ac:dyDescent="0.35">
      <c r="X68" s="141"/>
    </row>
    <row r="69" spans="1:24" s="18" customFormat="1" ht="15" customHeight="1" x14ac:dyDescent="0.35">
      <c r="X69" s="141"/>
    </row>
    <row r="70" spans="1:24" ht="15" customHeight="1" x14ac:dyDescent="0.35">
      <c r="A70" s="137"/>
      <c r="B70" s="137"/>
      <c r="C70" s="303" t="str">
        <f>"All amounts in "&amp;Assumptions!$G$14</f>
        <v>All amounts in USD</v>
      </c>
      <c r="D70" s="303"/>
      <c r="E70" s="303"/>
      <c r="F70" s="303"/>
      <c r="G70" s="303"/>
      <c r="H70" s="303"/>
      <c r="I70" s="303"/>
      <c r="J70" s="30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4" s="13" customFormat="1" ht="15" customHeight="1" x14ac:dyDescent="0.35">
      <c r="A71" s="719">
        <f>MAX(A$1:A70)+1</f>
        <v>3</v>
      </c>
      <c r="B71" s="196"/>
      <c r="C71" s="143" t="s">
        <v>57</v>
      </c>
      <c r="D71" s="143"/>
      <c r="E71" s="143"/>
      <c r="F71" s="143"/>
      <c r="G71" s="143" t="s">
        <v>45</v>
      </c>
      <c r="H71" s="143"/>
      <c r="I71" s="143"/>
      <c r="J71" s="143"/>
      <c r="K71" s="694">
        <f t="shared" ref="K71:U71" ca="1" si="53">K$7</f>
        <v>2024</v>
      </c>
      <c r="L71" s="694">
        <f t="shared" ca="1" si="53"/>
        <v>2025</v>
      </c>
      <c r="M71" s="695">
        <f t="shared" ca="1" si="53"/>
        <v>2026</v>
      </c>
      <c r="N71" s="871">
        <f t="shared" ca="1" si="53"/>
        <v>2026</v>
      </c>
      <c r="O71" s="871">
        <f t="shared" ca="1" si="53"/>
        <v>2027</v>
      </c>
      <c r="P71" s="871">
        <f t="shared" ca="1" si="53"/>
        <v>2028</v>
      </c>
      <c r="Q71" s="871">
        <f t="shared" ca="1" si="53"/>
        <v>2029</v>
      </c>
      <c r="R71" s="871">
        <f t="shared" ca="1" si="53"/>
        <v>2030</v>
      </c>
      <c r="S71" s="871">
        <f t="shared" ca="1" si="53"/>
        <v>2031</v>
      </c>
      <c r="T71" s="703"/>
      <c r="U71" s="704">
        <f t="shared" si="53"/>
        <v>5</v>
      </c>
      <c r="V71" s="197"/>
      <c r="X71" s="223"/>
    </row>
    <row r="72" spans="1:24" s="9" customFormat="1" ht="15" customHeight="1" x14ac:dyDescent="0.35">
      <c r="A72" s="137"/>
      <c r="B72" s="147"/>
      <c r="C72" s="148" t="str">
        <f>C$8</f>
        <v>Forecast Year</v>
      </c>
      <c r="D72" s="148"/>
      <c r="E72" s="148"/>
      <c r="F72" s="149"/>
      <c r="G72" s="149"/>
      <c r="H72" s="149"/>
      <c r="I72" s="150"/>
      <c r="J72" s="149"/>
      <c r="K72" s="150">
        <f t="shared" ref="K72:U72" si="54">K$8</f>
        <v>-2</v>
      </c>
      <c r="L72" s="150">
        <f t="shared" si="54"/>
        <v>-1</v>
      </c>
      <c r="M72" s="152">
        <f t="shared" si="54"/>
        <v>0</v>
      </c>
      <c r="N72" s="150">
        <f t="shared" si="54"/>
        <v>0</v>
      </c>
      <c r="O72" s="150">
        <f t="shared" si="54"/>
        <v>1</v>
      </c>
      <c r="P72" s="150">
        <f t="shared" si="54"/>
        <v>2</v>
      </c>
      <c r="Q72" s="150">
        <f t="shared" si="54"/>
        <v>3</v>
      </c>
      <c r="R72" s="150">
        <f t="shared" si="54"/>
        <v>4</v>
      </c>
      <c r="S72" s="150">
        <f t="shared" si="54"/>
        <v>5</v>
      </c>
      <c r="T72" s="150"/>
      <c r="U72" s="713">
        <f t="shared" si="54"/>
        <v>5</v>
      </c>
      <c r="V72" s="152"/>
      <c r="X72" s="141"/>
    </row>
    <row r="73" spans="1:24" ht="15" customHeight="1" x14ac:dyDescent="0.35">
      <c r="A73" s="137"/>
      <c r="B73" s="153"/>
      <c r="C73" s="19"/>
      <c r="D73" s="19"/>
      <c r="E73" s="19"/>
      <c r="F73" s="19"/>
      <c r="G73" s="19"/>
      <c r="H73" s="19"/>
      <c r="I73" s="19"/>
      <c r="J73" s="19"/>
      <c r="K73" s="188"/>
      <c r="L73" s="188"/>
      <c r="M73" s="189"/>
      <c r="N73" s="188"/>
      <c r="O73" s="188"/>
      <c r="P73" s="188"/>
      <c r="Q73" s="188"/>
      <c r="R73" s="188"/>
      <c r="S73" s="188"/>
      <c r="T73" s="188"/>
      <c r="U73" s="821"/>
      <c r="V73" s="189"/>
      <c r="X73" s="223"/>
    </row>
    <row r="74" spans="1:24" s="18" customFormat="1" ht="15" customHeight="1" x14ac:dyDescent="0.35">
      <c r="B74" s="160"/>
      <c r="C74" s="66" t="s">
        <v>32</v>
      </c>
      <c r="D74" s="66"/>
      <c r="E74" s="66"/>
      <c r="F74" s="449"/>
      <c r="G74" s="449"/>
      <c r="H74" s="409"/>
      <c r="I74" s="409"/>
      <c r="J74" s="409"/>
      <c r="K74" s="181"/>
      <c r="L74" s="181"/>
      <c r="M74" s="450"/>
      <c r="N74" s="181"/>
      <c r="O74" s="181"/>
      <c r="P74" s="181"/>
      <c r="Q74" s="181"/>
      <c r="R74" s="181"/>
      <c r="S74" s="181"/>
      <c r="T74" s="181"/>
      <c r="U74" s="822"/>
      <c r="V74" s="450"/>
      <c r="X74" s="141"/>
    </row>
    <row r="75" spans="1:24" s="18" customFormat="1" ht="15" customHeight="1" x14ac:dyDescent="0.35">
      <c r="B75" s="160"/>
      <c r="C75" s="19" t="str">
        <f>C31</f>
        <v>Net Income/Loss</v>
      </c>
      <c r="D75" s="19"/>
      <c r="E75" s="19"/>
      <c r="F75" s="252"/>
      <c r="G75" s="313" t="str">
        <f>Assumptions!$G$14</f>
        <v>USD</v>
      </c>
      <c r="H75" s="9"/>
      <c r="I75" s="218"/>
      <c r="J75" s="9"/>
      <c r="K75" s="71"/>
      <c r="L75" s="71"/>
      <c r="M75" s="184"/>
      <c r="N75" s="71">
        <f t="shared" ref="N75:S75" si="55">N31</f>
        <v>923625</v>
      </c>
      <c r="O75" s="71">
        <f t="shared" si="55"/>
        <v>565826.011363636</v>
      </c>
      <c r="P75" s="71">
        <f t="shared" si="55"/>
        <v>633364.5247159088</v>
      </c>
      <c r="Q75" s="71">
        <f t="shared" si="55"/>
        <v>697667.52658380638</v>
      </c>
      <c r="R75" s="71">
        <f t="shared" si="55"/>
        <v>702228.85821072408</v>
      </c>
      <c r="S75" s="71">
        <f t="shared" si="55"/>
        <v>651703.27302691364</v>
      </c>
      <c r="T75" s="71"/>
      <c r="U75" s="753">
        <f t="shared" ref="U75:U82" si="56">SUM(N75:T75)</f>
        <v>4174415.1939009884</v>
      </c>
      <c r="V75" s="184"/>
      <c r="X75" s="141">
        <f>U75-U31</f>
        <v>0</v>
      </c>
    </row>
    <row r="76" spans="1:24" s="18" customFormat="1" ht="15" customHeight="1" x14ac:dyDescent="0.35">
      <c r="B76" s="160"/>
      <c r="C76" s="19" t="str">
        <f>"Addback "&amp;C21</f>
        <v>Addback Depreciation</v>
      </c>
      <c r="D76" s="188"/>
      <c r="E76" s="188"/>
      <c r="F76" s="252"/>
      <c r="G76" s="313" t="str">
        <f>Assumptions!$G$14</f>
        <v>USD</v>
      </c>
      <c r="H76" s="9"/>
      <c r="I76" s="218"/>
      <c r="J76" s="9"/>
      <c r="K76" s="71"/>
      <c r="L76" s="71"/>
      <c r="M76" s="184"/>
      <c r="N76" s="71">
        <f t="shared" ref="N76:S76" si="57">-N21</f>
        <v>0</v>
      </c>
      <c r="O76" s="71">
        <f t="shared" si="57"/>
        <v>300000</v>
      </c>
      <c r="P76" s="71">
        <f t="shared" si="57"/>
        <v>300000</v>
      </c>
      <c r="Q76" s="71">
        <f t="shared" si="57"/>
        <v>300000</v>
      </c>
      <c r="R76" s="71">
        <f t="shared" si="57"/>
        <v>300000</v>
      </c>
      <c r="S76" s="71">
        <f t="shared" si="57"/>
        <v>350000</v>
      </c>
      <c r="T76" s="71"/>
      <c r="U76" s="753">
        <f t="shared" si="56"/>
        <v>1550000</v>
      </c>
      <c r="V76" s="184"/>
      <c r="X76" s="141">
        <f>U76+U21</f>
        <v>0</v>
      </c>
    </row>
    <row r="77" spans="1:24" s="18" customFormat="1" ht="15" customHeight="1" x14ac:dyDescent="0.35">
      <c r="B77" s="160"/>
      <c r="C77" s="19" t="str">
        <f>"Change in "&amp;C42</f>
        <v>Change in Receivables</v>
      </c>
      <c r="D77" s="19"/>
      <c r="E77" s="19"/>
      <c r="F77" s="252"/>
      <c r="G77" s="313" t="str">
        <f>Assumptions!$G$14</f>
        <v>USD</v>
      </c>
      <c r="H77" s="9"/>
      <c r="I77" s="218"/>
      <c r="J77" s="9"/>
      <c r="K77" s="71"/>
      <c r="L77" s="71"/>
      <c r="M77" s="184"/>
      <c r="N77" s="71">
        <f ca="1">N160</f>
        <v>432575.34246575343</v>
      </c>
      <c r="O77" s="71">
        <f ca="1">N160-O160</f>
        <v>-32443.15068493149</v>
      </c>
      <c r="P77" s="71">
        <f t="shared" ref="P77:S77" ca="1" si="58">O160-P160</f>
        <v>-33510.553980462602</v>
      </c>
      <c r="Q77" s="71">
        <f t="shared" ca="1" si="58"/>
        <v>-26360.577012688096</v>
      </c>
      <c r="R77" s="71">
        <f t="shared" ca="1" si="58"/>
        <v>-26244.481207191828</v>
      </c>
      <c r="S77" s="71">
        <f t="shared" ca="1" si="58"/>
        <v>-27556.705267551471</v>
      </c>
      <c r="T77" s="71"/>
      <c r="U77" s="753">
        <f t="shared" ca="1" si="56"/>
        <v>286459.87431292795</v>
      </c>
      <c r="V77" s="184"/>
      <c r="X77" s="141"/>
    </row>
    <row r="78" spans="1:24" s="18" customFormat="1" ht="15" customHeight="1" x14ac:dyDescent="0.35">
      <c r="B78" s="160"/>
      <c r="C78" s="19" t="str">
        <f>"Change in "&amp;C43</f>
        <v>Change in Inventory</v>
      </c>
      <c r="D78" s="19"/>
      <c r="E78" s="19"/>
      <c r="F78" s="252"/>
      <c r="G78" s="313" t="str">
        <f>Assumptions!$G$14</f>
        <v>USD</v>
      </c>
      <c r="H78" s="9"/>
      <c r="I78" s="218"/>
      <c r="J78" s="9"/>
      <c r="K78" s="71"/>
      <c r="L78" s="71"/>
      <c r="M78" s="184"/>
      <c r="N78" s="71">
        <f ca="1">N161</f>
        <v>108143.83561643836</v>
      </c>
      <c r="O78" s="71">
        <f t="shared" ref="O78:S78" ca="1" si="59">N161-O161</f>
        <v>-22061.342465753449</v>
      </c>
      <c r="P78" s="71">
        <f t="shared" ca="1" si="59"/>
        <v>-9382.9551145295118</v>
      </c>
      <c r="Q78" s="71">
        <f t="shared" ca="1" si="59"/>
        <v>-4756.5134428335004</v>
      </c>
      <c r="R78" s="71">
        <f t="shared" ca="1" si="59"/>
        <v>-7217.2323319777497</v>
      </c>
      <c r="S78" s="71">
        <f t="shared" ca="1" si="59"/>
        <v>-7578.0939485766285</v>
      </c>
      <c r="T78" s="71"/>
      <c r="U78" s="753">
        <f t="shared" ca="1" si="56"/>
        <v>57147.698312767519</v>
      </c>
      <c r="V78" s="184"/>
      <c r="X78" s="141"/>
    </row>
    <row r="79" spans="1:24" s="18" customFormat="1" ht="15" customHeight="1" x14ac:dyDescent="0.35">
      <c r="B79" s="160"/>
      <c r="C79" s="19" t="str">
        <f>"Change in "&amp;C44</f>
        <v>Change in Other Current Assets</v>
      </c>
      <c r="D79" s="19"/>
      <c r="E79" s="19"/>
      <c r="F79" s="252"/>
      <c r="G79" s="313" t="str">
        <f>Assumptions!$G$14</f>
        <v>USD</v>
      </c>
      <c r="H79" s="9"/>
      <c r="I79" s="218"/>
      <c r="J79" s="9"/>
      <c r="K79" s="71"/>
      <c r="L79" s="71"/>
      <c r="M79" s="184"/>
      <c r="N79" s="71">
        <f>N162</f>
        <v>26315</v>
      </c>
      <c r="O79" s="71">
        <f t="shared" ref="O79:S79" si="60">N162-O162</f>
        <v>-1973.625</v>
      </c>
      <c r="P79" s="71">
        <f t="shared" si="60"/>
        <v>-2121.6468750000022</v>
      </c>
      <c r="Q79" s="71">
        <f t="shared" si="60"/>
        <v>-1520.5135937499981</v>
      </c>
      <c r="R79" s="71">
        <f t="shared" si="60"/>
        <v>-1596.5392734375055</v>
      </c>
      <c r="S79" s="71">
        <f t="shared" si="60"/>
        <v>-1676.3662371093742</v>
      </c>
      <c r="T79" s="71"/>
      <c r="U79" s="753">
        <f t="shared" si="56"/>
        <v>17426.30902070312</v>
      </c>
      <c r="V79" s="184"/>
      <c r="X79" s="141"/>
    </row>
    <row r="80" spans="1:24" s="18" customFormat="1" ht="15" customHeight="1" x14ac:dyDescent="0.35">
      <c r="B80" s="160"/>
      <c r="C80" s="19" t="str">
        <f>"Change in "&amp;C53</f>
        <v>Change in Short-Term Provisions</v>
      </c>
      <c r="D80" s="19"/>
      <c r="E80" s="19"/>
      <c r="F80" s="252"/>
      <c r="G80" s="313" t="str">
        <f>Assumptions!$G$14</f>
        <v>USD</v>
      </c>
      <c r="H80" s="9"/>
      <c r="I80" s="218"/>
      <c r="J80" s="9"/>
      <c r="K80" s="71"/>
      <c r="L80" s="71"/>
      <c r="M80" s="184"/>
      <c r="N80" s="71">
        <f>-N163</f>
        <v>0</v>
      </c>
      <c r="O80" s="71">
        <f>O163-N163</f>
        <v>0</v>
      </c>
      <c r="P80" s="71">
        <f t="shared" ref="P80:S80" si="61">P163-O163</f>
        <v>0</v>
      </c>
      <c r="Q80" s="71">
        <f t="shared" si="61"/>
        <v>0</v>
      </c>
      <c r="R80" s="71">
        <f t="shared" si="61"/>
        <v>0</v>
      </c>
      <c r="S80" s="71">
        <f t="shared" si="61"/>
        <v>0</v>
      </c>
      <c r="T80" s="71"/>
      <c r="U80" s="753">
        <f t="shared" ref="U80" si="62">SUM(N80:T80)</f>
        <v>0</v>
      </c>
      <c r="V80" s="184"/>
      <c r="X80" s="141"/>
    </row>
    <row r="81" spans="1:24" ht="15" customHeight="1" x14ac:dyDescent="0.35">
      <c r="A81" s="137"/>
      <c r="B81" s="153"/>
      <c r="C81" s="19" t="str">
        <f>"Change in "&amp;C54</f>
        <v>Change in Payables</v>
      </c>
      <c r="D81" s="19"/>
      <c r="E81" s="19"/>
      <c r="F81" s="252"/>
      <c r="G81" s="313" t="str">
        <f>Assumptions!$G$14</f>
        <v>USD</v>
      </c>
      <c r="H81" s="19"/>
      <c r="I81" s="252"/>
      <c r="J81" s="19"/>
      <c r="K81" s="3"/>
      <c r="L81" s="3"/>
      <c r="M81" s="177"/>
      <c r="N81" s="3">
        <f ca="1">N54</f>
        <v>144191.78082191781</v>
      </c>
      <c r="O81" s="3">
        <f ca="1">O54-N54</f>
        <v>29415.123287671246</v>
      </c>
      <c r="P81" s="3">
        <f t="shared" ref="P81:S81" ca="1" si="63">P54-O54</f>
        <v>12510.606819372682</v>
      </c>
      <c r="Q81" s="3">
        <f t="shared" ca="1" si="63"/>
        <v>6342.0179237779812</v>
      </c>
      <c r="R81" s="3">
        <f t="shared" ca="1" si="63"/>
        <v>9622.9764426370384</v>
      </c>
      <c r="S81" s="3">
        <f t="shared" ca="1" si="63"/>
        <v>10104.125264768838</v>
      </c>
      <c r="T81" s="3"/>
      <c r="U81" s="753">
        <f t="shared" ca="1" si="56"/>
        <v>212186.6305601456</v>
      </c>
      <c r="V81" s="177"/>
    </row>
    <row r="82" spans="1:24" ht="15" customHeight="1" x14ac:dyDescent="0.35">
      <c r="A82" s="137"/>
      <c r="B82" s="153"/>
      <c r="C82" s="19" t="str">
        <f>"Change in "&amp;C55</f>
        <v>Change in Other Current Liabilities</v>
      </c>
      <c r="D82" s="19"/>
      <c r="E82" s="19"/>
      <c r="F82" s="19"/>
      <c r="G82" s="313" t="str">
        <f>Assumptions!$G$14</f>
        <v>USD</v>
      </c>
      <c r="H82" s="19"/>
      <c r="I82" s="19"/>
      <c r="J82" s="19"/>
      <c r="K82" s="3"/>
      <c r="L82" s="3"/>
      <c r="M82" s="177"/>
      <c r="N82" s="3">
        <f>N55</f>
        <v>13157.5</v>
      </c>
      <c r="O82" s="3">
        <f>O55-N55</f>
        <v>2684.1300000000028</v>
      </c>
      <c r="P82" s="3">
        <f t="shared" ref="P82:S82" si="64">P55-O55</f>
        <v>1188.1222499999985</v>
      </c>
      <c r="Q82" s="3">
        <f t="shared" si="64"/>
        <v>532.17975781250061</v>
      </c>
      <c r="R82" s="3">
        <f t="shared" si="64"/>
        <v>878.0966003906251</v>
      </c>
      <c r="S82" s="3">
        <f t="shared" si="64"/>
        <v>922.00143041016054</v>
      </c>
      <c r="T82" s="3"/>
      <c r="U82" s="753">
        <f t="shared" si="56"/>
        <v>19362.030038613288</v>
      </c>
      <c r="V82" s="177"/>
    </row>
    <row r="83" spans="1:24" s="18" customFormat="1" ht="15" customHeight="1" x14ac:dyDescent="0.35">
      <c r="B83" s="160"/>
      <c r="C83" s="83" t="str">
        <f>C74</f>
        <v>Cash Flow from Operations</v>
      </c>
      <c r="D83" s="83"/>
      <c r="E83" s="83"/>
      <c r="F83" s="83"/>
      <c r="G83" s="447" t="str">
        <f>Assumptions!$G$14</f>
        <v>USD</v>
      </c>
      <c r="H83" s="84"/>
      <c r="I83" s="84"/>
      <c r="J83" s="84"/>
      <c r="K83" s="121"/>
      <c r="L83" s="121"/>
      <c r="M83" s="728"/>
      <c r="N83" s="121">
        <f ca="1">SUM(N75:N82)</f>
        <v>1648008.4589041097</v>
      </c>
      <c r="O83" s="121">
        <f t="shared" ref="O83:S83" ca="1" si="65">SUM(O75:O82)</f>
        <v>841447.14650062227</v>
      </c>
      <c r="P83" s="121">
        <f t="shared" ca="1" si="65"/>
        <v>902048.09781528939</v>
      </c>
      <c r="Q83" s="121">
        <f t="shared" ca="1" si="65"/>
        <v>971904.12021612539</v>
      </c>
      <c r="R83" s="121">
        <f t="shared" ca="1" si="65"/>
        <v>977671.67844114464</v>
      </c>
      <c r="S83" s="121">
        <f t="shared" ca="1" si="65"/>
        <v>975918.23426885519</v>
      </c>
      <c r="T83" s="121"/>
      <c r="U83" s="746">
        <f ca="1">SUM(U75:U82)</f>
        <v>6316997.7361461455</v>
      </c>
      <c r="V83" s="6"/>
      <c r="X83" s="141">
        <f ca="1">SUM(O75:S82)-SUM(O83:S83)</f>
        <v>0</v>
      </c>
    </row>
    <row r="84" spans="1:24" s="18" customFormat="1" ht="15" customHeight="1" x14ac:dyDescent="0.35">
      <c r="B84" s="160"/>
      <c r="C84" s="19"/>
      <c r="D84" s="19"/>
      <c r="E84" s="19"/>
      <c r="F84" s="19"/>
      <c r="G84" s="19"/>
      <c r="H84" s="9"/>
      <c r="I84" s="9"/>
      <c r="J84" s="9"/>
      <c r="K84" s="183"/>
      <c r="L84" s="183"/>
      <c r="M84" s="431"/>
      <c r="N84" s="183"/>
      <c r="O84" s="183"/>
      <c r="P84" s="183"/>
      <c r="Q84" s="183"/>
      <c r="R84" s="183"/>
      <c r="S84" s="183"/>
      <c r="T84" s="183"/>
      <c r="U84" s="823"/>
      <c r="V84" s="431"/>
      <c r="X84" s="141"/>
    </row>
    <row r="85" spans="1:24" s="18" customFormat="1" ht="15" customHeight="1" x14ac:dyDescent="0.35">
      <c r="B85" s="160"/>
      <c r="C85" s="66" t="s">
        <v>58</v>
      </c>
      <c r="D85" s="66"/>
      <c r="E85" s="66"/>
      <c r="F85" s="449"/>
      <c r="G85" s="449"/>
      <c r="H85" s="409"/>
      <c r="I85" s="409"/>
      <c r="J85" s="409"/>
      <c r="K85" s="183"/>
      <c r="L85" s="183"/>
      <c r="M85" s="431"/>
      <c r="N85" s="183"/>
      <c r="O85" s="183"/>
      <c r="P85" s="183"/>
      <c r="Q85" s="183"/>
      <c r="R85" s="183"/>
      <c r="S85" s="183"/>
      <c r="T85" s="183"/>
      <c r="U85" s="823"/>
      <c r="V85" s="431"/>
      <c r="X85" s="141"/>
    </row>
    <row r="86" spans="1:24" s="18" customFormat="1" ht="15" customHeight="1" x14ac:dyDescent="0.35">
      <c r="B86" s="160"/>
      <c r="C86" s="19" t="str">
        <f>C47</f>
        <v>Capital Expenditures</v>
      </c>
      <c r="D86" s="19"/>
      <c r="E86" s="19"/>
      <c r="F86" s="19"/>
      <c r="G86" s="313" t="str">
        <f>Assumptions!$G$14</f>
        <v>USD</v>
      </c>
      <c r="H86" s="9"/>
      <c r="I86" s="9"/>
      <c r="J86" s="9"/>
      <c r="K86" s="71"/>
      <c r="L86" s="71"/>
      <c r="M86" s="184"/>
      <c r="N86" s="71">
        <f t="shared" ref="N86:S86" si="66">-N176</f>
        <v>-1500000</v>
      </c>
      <c r="O86" s="71">
        <f t="shared" si="66"/>
        <v>0</v>
      </c>
      <c r="P86" s="71">
        <f t="shared" si="66"/>
        <v>0</v>
      </c>
      <c r="Q86" s="71">
        <f t="shared" si="66"/>
        <v>0</v>
      </c>
      <c r="R86" s="71">
        <f t="shared" si="66"/>
        <v>-250000</v>
      </c>
      <c r="S86" s="71">
        <f t="shared" si="66"/>
        <v>0</v>
      </c>
      <c r="T86" s="71"/>
      <c r="U86" s="753">
        <f>SUM(N86:T86)</f>
        <v>-1750000</v>
      </c>
      <c r="V86" s="431"/>
      <c r="X86" s="141"/>
    </row>
    <row r="87" spans="1:24" s="18" customFormat="1" ht="15" customHeight="1" x14ac:dyDescent="0.35">
      <c r="B87" s="160"/>
      <c r="C87" s="83" t="str">
        <f>C85</f>
        <v>Cash Flow from Investments</v>
      </c>
      <c r="D87" s="83"/>
      <c r="E87" s="83"/>
      <c r="F87" s="83"/>
      <c r="G87" s="447" t="str">
        <f>Assumptions!$G$14</f>
        <v>USD</v>
      </c>
      <c r="H87" s="84"/>
      <c r="I87" s="84"/>
      <c r="J87" s="84"/>
      <c r="K87" s="121"/>
      <c r="L87" s="121"/>
      <c r="M87" s="728"/>
      <c r="N87" s="121">
        <f t="shared" ref="N87:S87" si="67">SUM(N86:N86)</f>
        <v>-1500000</v>
      </c>
      <c r="O87" s="121">
        <f t="shared" si="67"/>
        <v>0</v>
      </c>
      <c r="P87" s="121">
        <f t="shared" si="67"/>
        <v>0</v>
      </c>
      <c r="Q87" s="121">
        <f t="shared" si="67"/>
        <v>0</v>
      </c>
      <c r="R87" s="121">
        <f t="shared" si="67"/>
        <v>-250000</v>
      </c>
      <c r="S87" s="121">
        <f t="shared" si="67"/>
        <v>0</v>
      </c>
      <c r="T87" s="121"/>
      <c r="U87" s="746">
        <f>SUM(U86:U86)</f>
        <v>-1750000</v>
      </c>
      <c r="V87" s="452"/>
      <c r="X87" s="141"/>
    </row>
    <row r="88" spans="1:24" s="18" customFormat="1" ht="15" customHeight="1" x14ac:dyDescent="0.35">
      <c r="B88" s="160"/>
      <c r="C88" s="19"/>
      <c r="D88" s="19"/>
      <c r="E88" s="19"/>
      <c r="F88" s="19"/>
      <c r="G88" s="19"/>
      <c r="H88" s="9"/>
      <c r="I88" s="9"/>
      <c r="J88" s="9"/>
      <c r="K88" s="183"/>
      <c r="L88" s="183"/>
      <c r="M88" s="431"/>
      <c r="N88" s="183"/>
      <c r="O88" s="183"/>
      <c r="P88" s="183"/>
      <c r="Q88" s="183"/>
      <c r="R88" s="183"/>
      <c r="S88" s="183"/>
      <c r="T88" s="183"/>
      <c r="U88" s="823"/>
      <c r="V88" s="431"/>
      <c r="X88" s="141"/>
    </row>
    <row r="89" spans="1:24" s="18" customFormat="1" ht="15" customHeight="1" x14ac:dyDescent="0.35">
      <c r="B89" s="160"/>
      <c r="C89" s="66" t="s">
        <v>59</v>
      </c>
      <c r="D89" s="66"/>
      <c r="E89" s="66"/>
      <c r="F89" s="449"/>
      <c r="G89" s="449"/>
      <c r="H89" s="409"/>
      <c r="I89" s="409"/>
      <c r="J89" s="409"/>
      <c r="K89" s="183"/>
      <c r="L89" s="183"/>
      <c r="M89" s="431"/>
      <c r="N89" s="183"/>
      <c r="O89" s="183"/>
      <c r="P89" s="183"/>
      <c r="Q89" s="183"/>
      <c r="R89" s="183"/>
      <c r="S89" s="183"/>
      <c r="T89" s="183"/>
      <c r="U89" s="823"/>
      <c r="V89" s="431"/>
      <c r="X89" s="141"/>
    </row>
    <row r="90" spans="1:24" ht="15" customHeight="1" x14ac:dyDescent="0.35">
      <c r="A90" s="137"/>
      <c r="B90" s="153"/>
      <c r="C90" s="19" t="str">
        <f>"Change in "&amp;C58</f>
        <v>Change in Long-Term Provisions</v>
      </c>
      <c r="D90" s="19"/>
      <c r="E90" s="19"/>
      <c r="F90" s="19"/>
      <c r="G90" s="313" t="str">
        <f>Assumptions!$G$14</f>
        <v>USD</v>
      </c>
      <c r="H90" s="19"/>
      <c r="I90" s="19"/>
      <c r="J90" s="19"/>
      <c r="K90" s="178"/>
      <c r="L90" s="178"/>
      <c r="M90" s="820"/>
      <c r="N90" s="3">
        <f>-N58</f>
        <v>0</v>
      </c>
      <c r="O90" s="3">
        <f>O58-N58</f>
        <v>0</v>
      </c>
      <c r="P90" s="3">
        <f t="shared" ref="P90:S90" si="68">P58-O58</f>
        <v>0</v>
      </c>
      <c r="Q90" s="3">
        <f t="shared" si="68"/>
        <v>0</v>
      </c>
      <c r="R90" s="3">
        <f t="shared" si="68"/>
        <v>0</v>
      </c>
      <c r="S90" s="3">
        <f t="shared" si="68"/>
        <v>0</v>
      </c>
      <c r="T90" s="2"/>
      <c r="U90" s="753">
        <f t="shared" ref="U90" si="69">SUM(N90:T90)</f>
        <v>0</v>
      </c>
      <c r="V90" s="177"/>
    </row>
    <row r="91" spans="1:24" ht="15" customHeight="1" x14ac:dyDescent="0.35">
      <c r="A91" s="137"/>
      <c r="B91" s="153"/>
      <c r="C91" s="19" t="str">
        <f>"Change in "&amp;C59</f>
        <v>Change in Financial Debt</v>
      </c>
      <c r="D91" s="19"/>
      <c r="E91" s="19"/>
      <c r="F91" s="19"/>
      <c r="G91" s="313" t="str">
        <f>Assumptions!$G$14</f>
        <v>USD</v>
      </c>
      <c r="H91" s="19"/>
      <c r="I91" s="19"/>
      <c r="J91" s="19"/>
      <c r="K91" s="2"/>
      <c r="L91" s="2"/>
      <c r="M91" s="706"/>
      <c r="N91" s="2">
        <f>Assumptions!P59</f>
        <v>0</v>
      </c>
      <c r="O91" s="2">
        <f>Assumptions!Q59</f>
        <v>-300000</v>
      </c>
      <c r="P91" s="2">
        <f>Assumptions!R59</f>
        <v>-300000</v>
      </c>
      <c r="Q91" s="2">
        <f>Assumptions!S59</f>
        <v>-300000</v>
      </c>
      <c r="R91" s="2">
        <f>Assumptions!T59</f>
        <v>-300000</v>
      </c>
      <c r="S91" s="2">
        <f>Assumptions!U59</f>
        <v>-300000</v>
      </c>
      <c r="T91" s="2"/>
      <c r="U91" s="753">
        <f t="shared" ref="U91:U92" si="70">SUM(N91:T91)</f>
        <v>-1500000</v>
      </c>
      <c r="V91" s="177"/>
    </row>
    <row r="92" spans="1:24" s="18" customFormat="1" ht="15" customHeight="1" x14ac:dyDescent="0.35">
      <c r="B92" s="160"/>
      <c r="C92" s="86" t="s">
        <v>60</v>
      </c>
      <c r="D92" s="86"/>
      <c r="E92" s="86"/>
      <c r="F92" s="36"/>
      <c r="G92" s="400" t="str">
        <f>Assumptions!$G$14</f>
        <v>USD</v>
      </c>
      <c r="H92" s="36"/>
      <c r="I92" s="36"/>
      <c r="J92" s="36"/>
      <c r="K92" s="439"/>
      <c r="L92" s="439"/>
      <c r="M92" s="440"/>
      <c r="N92" s="453">
        <f>MIN(-N75*Assumptions!$G$21,0)</f>
        <v>-277087.5</v>
      </c>
      <c r="O92" s="453">
        <f>MIN(-O75*Assumptions!$G$21,0)</f>
        <v>-169747.80340909079</v>
      </c>
      <c r="P92" s="453">
        <f>MIN(-P75*Assumptions!$G$21,0)</f>
        <v>-190009.35741477265</v>
      </c>
      <c r="Q92" s="453">
        <f>MIN(-Q75*Assumptions!$G$21,0)</f>
        <v>-209300.2579751419</v>
      </c>
      <c r="R92" s="453">
        <f>MIN(-R75*Assumptions!$G$21,0)</f>
        <v>-210668.65746321721</v>
      </c>
      <c r="S92" s="775">
        <f>MIN(-S75*Assumptions!$G$21,0)</f>
        <v>-195510.98190807409</v>
      </c>
      <c r="T92" s="775"/>
      <c r="U92" s="753">
        <f t="shared" si="70"/>
        <v>-1252324.5581702967</v>
      </c>
      <c r="V92" s="184"/>
      <c r="X92" s="141"/>
    </row>
    <row r="93" spans="1:24" s="18" customFormat="1" ht="15" customHeight="1" x14ac:dyDescent="0.35">
      <c r="B93" s="160"/>
      <c r="C93" s="139" t="str">
        <f>C89</f>
        <v>Cash Flow from Financing</v>
      </c>
      <c r="D93" s="139"/>
      <c r="E93" s="139"/>
      <c r="F93" s="66"/>
      <c r="G93" s="442" t="str">
        <f>Assumptions!$G$14</f>
        <v>USD</v>
      </c>
      <c r="H93" s="41"/>
      <c r="I93" s="41"/>
      <c r="J93" s="41"/>
      <c r="K93" s="211"/>
      <c r="L93" s="211"/>
      <c r="M93" s="452"/>
      <c r="N93" s="211">
        <f t="shared" ref="N93:S93" si="71">SUM(N91:N92)</f>
        <v>-277087.5</v>
      </c>
      <c r="O93" s="211">
        <f t="shared" si="71"/>
        <v>-469747.80340909079</v>
      </c>
      <c r="P93" s="211">
        <f t="shared" si="71"/>
        <v>-490009.35741477262</v>
      </c>
      <c r="Q93" s="211">
        <f t="shared" si="71"/>
        <v>-509300.25797514187</v>
      </c>
      <c r="R93" s="211">
        <f t="shared" si="71"/>
        <v>-510668.65746321721</v>
      </c>
      <c r="S93" s="186">
        <f t="shared" si="71"/>
        <v>-495510.98190807411</v>
      </c>
      <c r="T93" s="186"/>
      <c r="U93" s="824">
        <f>SUM(U91:U92)</f>
        <v>-2752324.5581702967</v>
      </c>
      <c r="V93" s="452"/>
      <c r="X93" s="141">
        <f>SUM(O91:S92)-SUM(O93:S93)</f>
        <v>0</v>
      </c>
    </row>
    <row r="94" spans="1:24" s="18" customFormat="1" ht="15" customHeight="1" x14ac:dyDescent="0.35">
      <c r="B94" s="160"/>
      <c r="C94" s="19"/>
      <c r="D94" s="19"/>
      <c r="E94" s="19"/>
      <c r="F94" s="19"/>
      <c r="G94" s="19"/>
      <c r="H94" s="9"/>
      <c r="I94" s="9"/>
      <c r="J94" s="9"/>
      <c r="K94" s="183"/>
      <c r="L94" s="183"/>
      <c r="M94" s="431"/>
      <c r="N94" s="183"/>
      <c r="O94" s="183"/>
      <c r="P94" s="183"/>
      <c r="Q94" s="183"/>
      <c r="R94" s="183"/>
      <c r="S94" s="183"/>
      <c r="T94" s="183"/>
      <c r="U94" s="823"/>
      <c r="V94" s="431"/>
      <c r="X94" s="141"/>
    </row>
    <row r="95" spans="1:24" s="13" customFormat="1" ht="15" customHeight="1" x14ac:dyDescent="0.35">
      <c r="B95" s="185"/>
      <c r="C95" s="139" t="s">
        <v>61</v>
      </c>
      <c r="D95" s="139"/>
      <c r="E95" s="139"/>
      <c r="F95" s="66"/>
      <c r="G95" s="442" t="str">
        <f>Assumptions!$G$14</f>
        <v>USD</v>
      </c>
      <c r="H95" s="41"/>
      <c r="I95" s="41"/>
      <c r="J95" s="41"/>
      <c r="K95" s="211"/>
      <c r="L95" s="211"/>
      <c r="M95" s="452"/>
      <c r="N95" s="211">
        <f t="shared" ref="N95:S95" ca="1" si="72">N83+N87+N93</f>
        <v>-129079.04109589034</v>
      </c>
      <c r="O95" s="211">
        <f t="shared" ca="1" si="72"/>
        <v>371699.34309153148</v>
      </c>
      <c r="P95" s="211">
        <f t="shared" ca="1" si="72"/>
        <v>412038.74040051678</v>
      </c>
      <c r="Q95" s="211">
        <f t="shared" ca="1" si="72"/>
        <v>462603.86224098352</v>
      </c>
      <c r="R95" s="211">
        <f t="shared" ca="1" si="72"/>
        <v>217003.02097792743</v>
      </c>
      <c r="S95" s="211">
        <f t="shared" ca="1" si="72"/>
        <v>480407.25236078107</v>
      </c>
      <c r="T95" s="211"/>
      <c r="U95" s="825">
        <f ca="1">U83+U87+U93</f>
        <v>1814673.1779758488</v>
      </c>
      <c r="V95" s="452"/>
      <c r="X95" s="141">
        <f ca="1">SUM(O83:S83)+SUM(O87:S87)+SUM(O93:S93)-SUM(O95:S95)</f>
        <v>0</v>
      </c>
    </row>
    <row r="96" spans="1:24" s="18" customFormat="1" ht="15" customHeight="1" x14ac:dyDescent="0.35">
      <c r="B96" s="160"/>
      <c r="C96" s="137"/>
      <c r="D96" s="137"/>
      <c r="E96" s="137"/>
      <c r="F96" s="19"/>
      <c r="G96" s="19"/>
      <c r="H96" s="9"/>
      <c r="I96" s="9"/>
      <c r="J96" s="9"/>
      <c r="K96" s="183"/>
      <c r="L96" s="183"/>
      <c r="M96" s="431"/>
      <c r="N96" s="183"/>
      <c r="O96" s="183"/>
      <c r="P96" s="183"/>
      <c r="Q96" s="183"/>
      <c r="R96" s="183"/>
      <c r="S96" s="183"/>
      <c r="T96" s="183"/>
      <c r="U96" s="823"/>
      <c r="V96" s="431"/>
      <c r="X96" s="141"/>
    </row>
    <row r="97" spans="1:24" s="18" customFormat="1" ht="15" customHeight="1" x14ac:dyDescent="0.35">
      <c r="B97" s="160"/>
      <c r="C97" s="86" t="s">
        <v>62</v>
      </c>
      <c r="D97" s="86"/>
      <c r="E97" s="86"/>
      <c r="F97" s="86"/>
      <c r="G97" s="427" t="str">
        <f>Assumptions!$G$14</f>
        <v>USD</v>
      </c>
      <c r="H97" s="36"/>
      <c r="I97" s="36"/>
      <c r="J97" s="36"/>
      <c r="K97" s="439"/>
      <c r="L97" s="439"/>
      <c r="M97" s="440"/>
      <c r="N97" s="439">
        <f ca="1">N98-N95</f>
        <v>729079.04109589034</v>
      </c>
      <c r="O97" s="439">
        <f>N98</f>
        <v>600000</v>
      </c>
      <c r="P97" s="439">
        <f ca="1">O98</f>
        <v>971699.34309153142</v>
      </c>
      <c r="Q97" s="439">
        <f ca="1">P98</f>
        <v>1383738.0834920481</v>
      </c>
      <c r="R97" s="439">
        <f ca="1">Q98</f>
        <v>1846341.9457330317</v>
      </c>
      <c r="S97" s="439">
        <f ca="1">R98</f>
        <v>2063344.9667109591</v>
      </c>
      <c r="T97" s="439"/>
      <c r="U97" s="826">
        <f ca="1">N97</f>
        <v>729079.04109589034</v>
      </c>
      <c r="V97" s="431"/>
      <c r="X97" s="141"/>
    </row>
    <row r="98" spans="1:24" s="18" customFormat="1" ht="15" customHeight="1" x14ac:dyDescent="0.35">
      <c r="B98" s="160"/>
      <c r="C98" s="367" t="s">
        <v>63</v>
      </c>
      <c r="D98" s="367"/>
      <c r="E98" s="367"/>
      <c r="F98" s="429"/>
      <c r="G98" s="430" t="str">
        <f>Assumptions!$G$14</f>
        <v>USD</v>
      </c>
      <c r="H98" s="416"/>
      <c r="I98" s="416"/>
      <c r="J98" s="416"/>
      <c r="K98" s="454"/>
      <c r="L98" s="454"/>
      <c r="M98" s="707"/>
      <c r="N98" s="785">
        <f>Assumptions!P32</f>
        <v>600000</v>
      </c>
      <c r="O98" s="454">
        <f t="shared" ref="O98:S98" ca="1" si="73">O95+O97</f>
        <v>971699.34309153142</v>
      </c>
      <c r="P98" s="454">
        <f t="shared" ca="1" si="73"/>
        <v>1383738.0834920481</v>
      </c>
      <c r="Q98" s="454">
        <f t="shared" ca="1" si="73"/>
        <v>1846341.9457330317</v>
      </c>
      <c r="R98" s="454">
        <f t="shared" ca="1" si="73"/>
        <v>2063344.9667109591</v>
      </c>
      <c r="S98" s="454">
        <f t="shared" ca="1" si="73"/>
        <v>2543752.2190717403</v>
      </c>
      <c r="T98" s="454"/>
      <c r="U98" s="827">
        <f ca="1">U95+U97</f>
        <v>2543752.2190717394</v>
      </c>
      <c r="V98" s="452"/>
      <c r="X98" s="141"/>
    </row>
    <row r="99" spans="1:24" s="18" customFormat="1" ht="15" hidden="1" customHeight="1" outlineLevel="1" x14ac:dyDescent="0.35">
      <c r="B99" s="160"/>
      <c r="C99" s="767" t="s">
        <v>28</v>
      </c>
      <c r="D99" s="455"/>
      <c r="E99" s="455"/>
      <c r="F99" s="455"/>
      <c r="G99" s="455"/>
      <c r="H99" s="455"/>
      <c r="I99" s="455"/>
      <c r="J99" s="455"/>
      <c r="K99" s="455"/>
      <c r="L99" s="455"/>
      <c r="M99" s="456"/>
      <c r="N99" s="436">
        <f t="shared" ref="N99:S99" si="74">N41-N98</f>
        <v>0</v>
      </c>
      <c r="O99" s="436">
        <f t="shared" ca="1" si="74"/>
        <v>0</v>
      </c>
      <c r="P99" s="436">
        <f t="shared" ca="1" si="74"/>
        <v>0</v>
      </c>
      <c r="Q99" s="436">
        <f t="shared" ca="1" si="74"/>
        <v>0</v>
      </c>
      <c r="R99" s="436">
        <f t="shared" ca="1" si="74"/>
        <v>0</v>
      </c>
      <c r="S99" s="436">
        <f t="shared" ca="1" si="74"/>
        <v>0</v>
      </c>
      <c r="T99" s="436"/>
      <c r="U99" s="828">
        <f ca="1">U41-U98</f>
        <v>0</v>
      </c>
      <c r="V99" s="456"/>
      <c r="X99" s="223">
        <f ca="1">SUM(J99:S99)</f>
        <v>0</v>
      </c>
    </row>
    <row r="100" spans="1:24" s="18" customFormat="1" ht="15" customHeight="1" collapsed="1" x14ac:dyDescent="0.35">
      <c r="B100" s="190"/>
      <c r="C100" s="457"/>
      <c r="D100" s="457"/>
      <c r="E100" s="457"/>
      <c r="F100" s="457"/>
      <c r="G100" s="457"/>
      <c r="H100" s="457"/>
      <c r="I100" s="457"/>
      <c r="J100" s="457"/>
      <c r="K100" s="458"/>
      <c r="L100" s="458"/>
      <c r="M100" s="459"/>
      <c r="N100" s="458"/>
      <c r="O100" s="458"/>
      <c r="P100" s="458"/>
      <c r="Q100" s="458"/>
      <c r="R100" s="458"/>
      <c r="S100" s="458"/>
      <c r="T100" s="458"/>
      <c r="U100" s="829"/>
      <c r="V100" s="459"/>
      <c r="X100" s="223"/>
    </row>
    <row r="101" spans="1:24" s="18" customFormat="1" ht="15" customHeight="1" x14ac:dyDescent="0.35">
      <c r="X101" s="141"/>
    </row>
    <row r="102" spans="1:24" s="18" customFormat="1" ht="15" customHeight="1" x14ac:dyDescent="0.35">
      <c r="C102" s="9"/>
      <c r="D102" s="9"/>
      <c r="E102" s="9"/>
      <c r="F102" s="9"/>
      <c r="G102" s="9"/>
      <c r="H102" s="9"/>
      <c r="I102" s="9"/>
      <c r="J102" s="9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X102" s="223"/>
    </row>
    <row r="103" spans="1:24" s="18" customFormat="1" ht="15" customHeight="1" x14ac:dyDescent="0.35">
      <c r="C103" s="136" t="s">
        <v>64</v>
      </c>
      <c r="D103" s="136"/>
      <c r="E103" s="136"/>
      <c r="F103" s="9"/>
      <c r="G103" s="9"/>
      <c r="H103" s="9"/>
      <c r="I103" s="9"/>
      <c r="J103" s="9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X103" s="223"/>
    </row>
    <row r="104" spans="1:24" ht="15" customHeight="1" x14ac:dyDescent="0.35">
      <c r="A104" s="137"/>
      <c r="B104" s="137"/>
      <c r="C104" s="303" t="str">
        <f>"All amounts in "&amp;Assumptions!$G$14</f>
        <v>All amounts in USD</v>
      </c>
      <c r="D104" s="303"/>
      <c r="E104" s="303"/>
      <c r="F104" s="303"/>
      <c r="G104" s="303"/>
      <c r="H104" s="303"/>
      <c r="I104" s="303"/>
      <c r="J104" s="303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4" s="13" customFormat="1" ht="15" customHeight="1" x14ac:dyDescent="0.35">
      <c r="A105" s="719">
        <f>MAX(A$1:A104)+1</f>
        <v>4</v>
      </c>
      <c r="B105" s="196"/>
      <c r="C105" s="143" t="str">
        <f>C103</f>
        <v>Financial Ratios</v>
      </c>
      <c r="D105" s="143"/>
      <c r="E105" s="143"/>
      <c r="F105" s="143"/>
      <c r="G105" s="143" t="s">
        <v>45</v>
      </c>
      <c r="H105" s="143"/>
      <c r="I105" s="143"/>
      <c r="J105" s="143"/>
      <c r="K105" s="694">
        <f t="shared" ref="K105:U105" ca="1" si="75">K$7</f>
        <v>2024</v>
      </c>
      <c r="L105" s="694">
        <f t="shared" ca="1" si="75"/>
        <v>2025</v>
      </c>
      <c r="M105" s="695">
        <f t="shared" ca="1" si="75"/>
        <v>2026</v>
      </c>
      <c r="N105" s="871">
        <f t="shared" ca="1" si="75"/>
        <v>2026</v>
      </c>
      <c r="O105" s="871">
        <f t="shared" ca="1" si="75"/>
        <v>2027</v>
      </c>
      <c r="P105" s="871">
        <f t="shared" ca="1" si="75"/>
        <v>2028</v>
      </c>
      <c r="Q105" s="871">
        <f t="shared" ca="1" si="75"/>
        <v>2029</v>
      </c>
      <c r="R105" s="871">
        <f t="shared" ca="1" si="75"/>
        <v>2030</v>
      </c>
      <c r="S105" s="871">
        <f t="shared" ca="1" si="75"/>
        <v>2031</v>
      </c>
      <c r="T105" s="703"/>
      <c r="U105" s="704">
        <f t="shared" si="75"/>
        <v>5</v>
      </c>
      <c r="V105" s="197"/>
      <c r="X105" s="223"/>
    </row>
    <row r="106" spans="1:24" s="9" customFormat="1" ht="15" customHeight="1" x14ac:dyDescent="0.35">
      <c r="A106" s="137"/>
      <c r="B106" s="147"/>
      <c r="C106" s="148" t="str">
        <f>C$8</f>
        <v>Forecast Year</v>
      </c>
      <c r="D106" s="148"/>
      <c r="E106" s="148"/>
      <c r="F106" s="149"/>
      <c r="G106" s="149"/>
      <c r="H106" s="149"/>
      <c r="I106" s="150"/>
      <c r="J106" s="149"/>
      <c r="K106" s="150">
        <f t="shared" ref="K106:U106" si="76">K$8</f>
        <v>-2</v>
      </c>
      <c r="L106" s="150">
        <f t="shared" si="76"/>
        <v>-1</v>
      </c>
      <c r="M106" s="152">
        <f t="shared" si="76"/>
        <v>0</v>
      </c>
      <c r="N106" s="150">
        <f t="shared" si="76"/>
        <v>0</v>
      </c>
      <c r="O106" s="150">
        <f t="shared" si="76"/>
        <v>1</v>
      </c>
      <c r="P106" s="150">
        <f t="shared" si="76"/>
        <v>2</v>
      </c>
      <c r="Q106" s="150">
        <f t="shared" si="76"/>
        <v>3</v>
      </c>
      <c r="R106" s="150">
        <f t="shared" si="76"/>
        <v>4</v>
      </c>
      <c r="S106" s="150">
        <f t="shared" si="76"/>
        <v>5</v>
      </c>
      <c r="T106" s="150"/>
      <c r="U106" s="713">
        <f t="shared" si="76"/>
        <v>5</v>
      </c>
      <c r="V106" s="152"/>
      <c r="X106" s="141"/>
    </row>
    <row r="107" spans="1:24" s="9" customFormat="1" ht="15" customHeight="1" x14ac:dyDescent="0.35">
      <c r="A107" s="137"/>
      <c r="B107" s="147"/>
      <c r="C107" s="148" t="s">
        <v>291</v>
      </c>
      <c r="D107" s="148"/>
      <c r="E107" s="148"/>
      <c r="F107" s="149"/>
      <c r="G107" s="149"/>
      <c r="H107" s="149"/>
      <c r="I107" s="150"/>
      <c r="J107" s="149"/>
      <c r="K107" s="771">
        <f ca="1">DATE(K105,12,31)-DATE(K105,1,1)+1</f>
        <v>366</v>
      </c>
      <c r="L107" s="771">
        <f ca="1">DATE(L105,12,31)-DATE(L105,1,1)+1</f>
        <v>365</v>
      </c>
      <c r="M107" s="786">
        <f ca="1">DATE(M105,12,31)-DATE(M105,1,1)+1</f>
        <v>365</v>
      </c>
      <c r="N107" s="771">
        <f ca="1">DATE(N105,12,31)-DATE(N105,1,1)+1</f>
        <v>365</v>
      </c>
      <c r="O107" s="771">
        <f t="shared" ref="O107:S107" ca="1" si="77">DATE(O105,12,31)-DATE(O105,1,1)+1</f>
        <v>365</v>
      </c>
      <c r="P107" s="771">
        <f t="shared" ca="1" si="77"/>
        <v>366</v>
      </c>
      <c r="Q107" s="771">
        <f t="shared" ca="1" si="77"/>
        <v>365</v>
      </c>
      <c r="R107" s="771">
        <f t="shared" ca="1" si="77"/>
        <v>365</v>
      </c>
      <c r="S107" s="771">
        <f t="shared" ca="1" si="77"/>
        <v>365</v>
      </c>
      <c r="T107" s="150"/>
      <c r="U107" s="833">
        <f ca="1">S107</f>
        <v>365</v>
      </c>
      <c r="V107" s="152"/>
      <c r="X107" s="141"/>
    </row>
    <row r="108" spans="1:24" ht="15" customHeight="1" x14ac:dyDescent="0.35">
      <c r="A108" s="137"/>
      <c r="B108" s="153"/>
      <c r="C108" s="19"/>
      <c r="D108" s="19"/>
      <c r="E108" s="19"/>
      <c r="F108" s="19"/>
      <c r="G108" s="19"/>
      <c r="H108" s="19"/>
      <c r="I108" s="19"/>
      <c r="J108" s="19"/>
      <c r="K108" s="462"/>
      <c r="L108" s="462"/>
      <c r="M108" s="787"/>
      <c r="N108" s="462"/>
      <c r="O108" s="462"/>
      <c r="P108" s="462"/>
      <c r="Q108" s="462"/>
      <c r="R108" s="462"/>
      <c r="S108" s="462"/>
      <c r="T108" s="462"/>
      <c r="U108" s="834"/>
      <c r="V108" s="168"/>
      <c r="W108" s="141"/>
      <c r="X108" s="772"/>
    </row>
    <row r="109" spans="1:24" ht="15" customHeight="1" x14ac:dyDescent="0.35">
      <c r="A109" s="137"/>
      <c r="B109" s="153"/>
      <c r="C109" s="66" t="s">
        <v>65</v>
      </c>
      <c r="D109" s="66"/>
      <c r="E109" s="66"/>
      <c r="F109" s="19"/>
      <c r="G109" s="19"/>
      <c r="H109" s="19"/>
      <c r="I109" s="19"/>
      <c r="J109" s="19"/>
      <c r="K109" s="463"/>
      <c r="L109" s="463"/>
      <c r="M109" s="788"/>
      <c r="N109" s="463"/>
      <c r="O109" s="463"/>
      <c r="P109" s="463"/>
      <c r="Q109" s="463"/>
      <c r="R109" s="463"/>
      <c r="S109" s="463"/>
      <c r="T109" s="463"/>
      <c r="U109" s="835"/>
      <c r="V109" s="168"/>
      <c r="W109" s="141"/>
      <c r="X109" s="772"/>
    </row>
    <row r="110" spans="1:24" ht="15" customHeight="1" x14ac:dyDescent="0.35">
      <c r="A110" s="137"/>
      <c r="B110" s="153"/>
      <c r="C110" s="19" t="s">
        <v>35</v>
      </c>
      <c r="D110" s="19"/>
      <c r="E110" s="19"/>
      <c r="F110" s="252"/>
      <c r="G110" s="19" t="s">
        <v>66</v>
      </c>
      <c r="H110" s="19"/>
      <c r="I110" s="252"/>
      <c r="J110" s="19"/>
      <c r="K110" s="464">
        <f t="shared" ref="K110:S110" si="78">IFERROR(K150/K18,"NA")</f>
        <v>1.1450381679389312</v>
      </c>
      <c r="L110" s="464">
        <f t="shared" si="78"/>
        <v>1.1458333333333333</v>
      </c>
      <c r="M110" s="789">
        <f t="shared" si="78"/>
        <v>2.1739130434782608</v>
      </c>
      <c r="N110" s="464">
        <f t="shared" si="78"/>
        <v>1.5606710885680843</v>
      </c>
      <c r="O110" s="464">
        <f t="shared" si="78"/>
        <v>1.5444931941742217</v>
      </c>
      <c r="P110" s="464">
        <f t="shared" si="78"/>
        <v>1.1831958806259428</v>
      </c>
      <c r="Q110" s="464">
        <f t="shared" si="78"/>
        <v>0.87199621270262972</v>
      </c>
      <c r="R110" s="464">
        <f t="shared" si="78"/>
        <v>0.63489284864315199</v>
      </c>
      <c r="S110" s="464">
        <f t="shared" si="78"/>
        <v>0.40479677790260704</v>
      </c>
      <c r="T110" s="464"/>
      <c r="U110" s="836">
        <f>IFERROR(U150/U18,"NA")</f>
        <v>6.8286076197114132E-2</v>
      </c>
      <c r="V110" s="168"/>
      <c r="W110" s="141"/>
      <c r="X110" s="772"/>
    </row>
    <row r="111" spans="1:24" s="18" customFormat="1" ht="15" customHeight="1" x14ac:dyDescent="0.35">
      <c r="B111" s="160"/>
      <c r="C111" s="9" t="s">
        <v>67</v>
      </c>
      <c r="D111" s="9"/>
      <c r="E111" s="9"/>
      <c r="F111" s="218"/>
      <c r="G111" s="9" t="s">
        <v>66</v>
      </c>
      <c r="H111" s="9"/>
      <c r="I111" s="218"/>
      <c r="J111" s="9"/>
      <c r="K111" s="465">
        <f t="shared" ref="K111:S111" si="79">IFERROR(K22/-K26,"NA")</f>
        <v>32.266666666666666</v>
      </c>
      <c r="L111" s="465">
        <f t="shared" si="79"/>
        <v>34.031746031746032</v>
      </c>
      <c r="M111" s="589">
        <f t="shared" si="79"/>
        <v>17.972602739726028</v>
      </c>
      <c r="N111" s="465">
        <f t="shared" si="79"/>
        <v>25.63</v>
      </c>
      <c r="O111" s="465">
        <f t="shared" si="79"/>
        <v>17.31210122850122</v>
      </c>
      <c r="P111" s="465">
        <f t="shared" si="79"/>
        <v>22.793187947214065</v>
      </c>
      <c r="Q111" s="465">
        <f t="shared" si="79"/>
        <v>30.767147800909072</v>
      </c>
      <c r="R111" s="465">
        <f t="shared" si="79"/>
        <v>40.423374496040651</v>
      </c>
      <c r="S111" s="465">
        <f t="shared" si="79"/>
        <v>54.473089068874962</v>
      </c>
      <c r="T111" s="465"/>
      <c r="U111" s="837">
        <f>IFERROR(U22/-U26,"NA")</f>
        <v>27.9861184252185</v>
      </c>
      <c r="V111" s="167"/>
      <c r="W111" s="129"/>
      <c r="X111" s="772"/>
    </row>
    <row r="112" spans="1:24" s="18" customFormat="1" ht="15" customHeight="1" x14ac:dyDescent="0.35">
      <c r="B112" s="160"/>
      <c r="C112" s="9" t="s">
        <v>68</v>
      </c>
      <c r="D112" s="9"/>
      <c r="E112" s="9"/>
      <c r="F112" s="218"/>
      <c r="G112" s="9" t="s">
        <v>66</v>
      </c>
      <c r="H112" s="9"/>
      <c r="I112" s="218"/>
      <c r="J112" s="9"/>
      <c r="K112" s="465">
        <f t="shared" ref="K112:S112" si="80">IFERROR(K31/K59,"NA")</f>
        <v>0.58625000000000005</v>
      </c>
      <c r="L112" s="465">
        <f t="shared" si="80"/>
        <v>0.59119318181818181</v>
      </c>
      <c r="M112" s="589">
        <f t="shared" si="80"/>
        <v>0.29039062500000001</v>
      </c>
      <c r="N112" s="465">
        <f t="shared" si="80"/>
        <v>0.46181250000000001</v>
      </c>
      <c r="O112" s="465">
        <f t="shared" si="80"/>
        <v>0.33283883021390354</v>
      </c>
      <c r="P112" s="465">
        <f t="shared" si="80"/>
        <v>0.45240323193993487</v>
      </c>
      <c r="Q112" s="465">
        <f t="shared" si="80"/>
        <v>0.6342432059852785</v>
      </c>
      <c r="R112" s="465">
        <f t="shared" si="80"/>
        <v>0.87778607276340515</v>
      </c>
      <c r="S112" s="465">
        <f t="shared" si="80"/>
        <v>1.3034065460538273</v>
      </c>
      <c r="T112" s="465"/>
      <c r="U112" s="837">
        <f>IFERROR(U31/U59,"NA")</f>
        <v>8.3488303878019714</v>
      </c>
      <c r="V112" s="167"/>
      <c r="W112" s="129"/>
      <c r="X112" s="772"/>
    </row>
    <row r="113" spans="1:24" s="18" customFormat="1" ht="15" customHeight="1" x14ac:dyDescent="0.35">
      <c r="B113" s="160"/>
      <c r="C113" s="9" t="s">
        <v>69</v>
      </c>
      <c r="D113" s="9"/>
      <c r="E113" s="9"/>
      <c r="F113" s="218"/>
      <c r="G113" s="9" t="s">
        <v>17</v>
      </c>
      <c r="H113" s="9"/>
      <c r="I113" s="218"/>
      <c r="J113" s="9"/>
      <c r="K113" s="460">
        <f t="shared" ref="K113" si="81">IFERROR(K148/K152,"NA")</f>
        <v>0.55882352941176472</v>
      </c>
      <c r="L113" s="460">
        <f t="shared" ref="L113:S113" si="82">IFERROR(L148/L152,"NA")</f>
        <v>0.56678700361010825</v>
      </c>
      <c r="M113" s="790">
        <f t="shared" si="82"/>
        <v>0.48529411764705882</v>
      </c>
      <c r="N113" s="460">
        <f t="shared" ref="N113" ca="1" si="83">IFERROR(N148/N152,"NA")</f>
        <v>0.26689476258177081</v>
      </c>
      <c r="O113" s="460">
        <f t="shared" ca="1" si="82"/>
        <v>0.55430095581942229</v>
      </c>
      <c r="P113" s="460">
        <f t="shared" ca="1" si="82"/>
        <v>0.98808982535510703</v>
      </c>
      <c r="Q113" s="460">
        <f t="shared" ca="1" si="82"/>
        <v>1.6839997493319707</v>
      </c>
      <c r="R113" s="460">
        <f t="shared" ca="1" si="82"/>
        <v>2.1854593673537499</v>
      </c>
      <c r="S113" s="460">
        <f t="shared" ca="1" si="82"/>
        <v>3.7562930816831197</v>
      </c>
      <c r="T113" s="460"/>
      <c r="U113" s="838">
        <f t="shared" ref="U113" ca="1" si="84">IFERROR(U148/U152,"NA")</f>
        <v>3.7562930816831197</v>
      </c>
      <c r="V113" s="167"/>
      <c r="W113" s="129"/>
      <c r="X113" s="772"/>
    </row>
    <row r="114" spans="1:24" s="18" customFormat="1" ht="15" customHeight="1" x14ac:dyDescent="0.35">
      <c r="B114" s="160"/>
      <c r="C114" s="9" t="s">
        <v>292</v>
      </c>
      <c r="D114" s="9"/>
      <c r="E114" s="9"/>
      <c r="F114" s="218"/>
      <c r="G114" s="9" t="s">
        <v>17</v>
      </c>
      <c r="H114" s="9"/>
      <c r="I114" s="218"/>
      <c r="J114" s="9"/>
      <c r="K114" s="460">
        <f t="shared" ref="K114" si="85">SUM(K150:K151)/K148</f>
        <v>0.78947368421052633</v>
      </c>
      <c r="L114" s="460">
        <f t="shared" ref="L114:S114" si="86">SUM(L150:L151)/L148</f>
        <v>0.76433121019108285</v>
      </c>
      <c r="M114" s="790">
        <f t="shared" si="86"/>
        <v>1.0606060606060606</v>
      </c>
      <c r="N114" s="460">
        <f t="shared" ref="N114" ca="1" si="87">SUM(N150:N151)/N148</f>
        <v>2.7467951424997392</v>
      </c>
      <c r="O114" s="460">
        <f t="shared" ca="1" si="86"/>
        <v>0.80407410360983711</v>
      </c>
      <c r="P114" s="460">
        <f t="shared" ca="1" si="86"/>
        <v>1.2053736754765947E-2</v>
      </c>
      <c r="Q114" s="460">
        <f t="shared" ca="1" si="86"/>
        <v>-0.40617568357911454</v>
      </c>
      <c r="R114" s="460">
        <f t="shared" ca="1" si="86"/>
        <v>-0.54243029408922672</v>
      </c>
      <c r="S114" s="460">
        <f t="shared" ca="1" si="86"/>
        <v>-0.73378009163440461</v>
      </c>
      <c r="T114" s="460"/>
      <c r="U114" s="838">
        <f t="shared" ref="U114" ca="1" si="88">SUM(U150:U151)/U148</f>
        <v>-0.73378009163440461</v>
      </c>
      <c r="V114" s="167"/>
      <c r="W114" s="129"/>
      <c r="X114" s="772"/>
    </row>
    <row r="115" spans="1:24" ht="15" customHeight="1" x14ac:dyDescent="0.35">
      <c r="A115" s="137"/>
      <c r="B115" s="153"/>
      <c r="C115" s="19" t="str">
        <f>Assumptions!C19</f>
        <v>Interest Rate</v>
      </c>
      <c r="D115" s="19"/>
      <c r="E115" s="19"/>
      <c r="F115" s="252"/>
      <c r="G115" s="19" t="s">
        <v>17</v>
      </c>
      <c r="H115" s="19"/>
      <c r="I115" s="252"/>
      <c r="J115" s="19"/>
      <c r="K115" s="462">
        <f>-IFERROR(K26/AVERAGE(J59:K59),0)</f>
        <v>2.5000000000000001E-2</v>
      </c>
      <c r="L115" s="462">
        <f>-IFERROR(L26/AVERAGE(K59:L59),0)</f>
        <v>2.5000000000000001E-2</v>
      </c>
      <c r="M115" s="787">
        <f>-IFERROR(M26/AVERAGE(L59:M59),0)</f>
        <v>2.5000000000000001E-2</v>
      </c>
      <c r="N115" s="372">
        <f>Assumptions!G19</f>
        <v>2.5000000000000001E-2</v>
      </c>
      <c r="O115" s="462">
        <f>N115</f>
        <v>2.5000000000000001E-2</v>
      </c>
      <c r="P115" s="462">
        <f t="shared" ref="P115:S115" si="89">O115</f>
        <v>2.5000000000000001E-2</v>
      </c>
      <c r="Q115" s="462">
        <f t="shared" si="89"/>
        <v>2.5000000000000001E-2</v>
      </c>
      <c r="R115" s="462">
        <f t="shared" si="89"/>
        <v>2.5000000000000001E-2</v>
      </c>
      <c r="S115" s="462">
        <f t="shared" si="89"/>
        <v>2.5000000000000001E-2</v>
      </c>
      <c r="T115" s="462"/>
      <c r="U115" s="834"/>
      <c r="V115" s="168"/>
      <c r="W115" s="141"/>
      <c r="X115" s="772"/>
    </row>
    <row r="116" spans="1:24" s="18" customFormat="1" ht="15" customHeight="1" x14ac:dyDescent="0.35">
      <c r="B116" s="160"/>
      <c r="C116" s="9"/>
      <c r="D116" s="9"/>
      <c r="E116" s="9"/>
      <c r="F116" s="9"/>
      <c r="G116" s="9"/>
      <c r="H116" s="9"/>
      <c r="I116" s="9"/>
      <c r="J116" s="9"/>
      <c r="K116" s="460"/>
      <c r="L116" s="460"/>
      <c r="M116" s="790"/>
      <c r="N116" s="460"/>
      <c r="O116" s="460"/>
      <c r="P116" s="460"/>
      <c r="Q116" s="460"/>
      <c r="R116" s="460"/>
      <c r="S116" s="460"/>
      <c r="T116" s="460"/>
      <c r="U116" s="838"/>
      <c r="V116" s="167"/>
      <c r="W116" s="129"/>
      <c r="X116" s="772"/>
    </row>
    <row r="117" spans="1:24" s="18" customFormat="1" ht="15" customHeight="1" x14ac:dyDescent="0.35">
      <c r="B117" s="160"/>
      <c r="C117" s="41" t="s">
        <v>70</v>
      </c>
      <c r="D117" s="41"/>
      <c r="E117" s="41"/>
      <c r="F117" s="9"/>
      <c r="G117" s="9"/>
      <c r="H117" s="9"/>
      <c r="I117" s="9"/>
      <c r="J117" s="9"/>
      <c r="K117" s="460"/>
      <c r="L117" s="460"/>
      <c r="M117" s="790"/>
      <c r="N117" s="460"/>
      <c r="O117" s="460"/>
      <c r="P117" s="460"/>
      <c r="Q117" s="460"/>
      <c r="R117" s="460"/>
      <c r="S117" s="460"/>
      <c r="T117" s="460"/>
      <c r="U117" s="838"/>
      <c r="V117" s="167"/>
      <c r="W117" s="129"/>
      <c r="X117" s="772"/>
    </row>
    <row r="118" spans="1:24" s="18" customFormat="1" ht="15" customHeight="1" x14ac:dyDescent="0.35">
      <c r="B118" s="160"/>
      <c r="C118" s="9" t="s">
        <v>71</v>
      </c>
      <c r="D118" s="9"/>
      <c r="E118" s="9"/>
      <c r="F118" s="218"/>
      <c r="G118" s="9" t="s">
        <v>66</v>
      </c>
      <c r="H118" s="9"/>
      <c r="I118" s="218"/>
      <c r="J118" s="9"/>
      <c r="K118" s="465">
        <f t="shared" ref="K118:S118" si="90">IFERROR(K41/SUM(K$54:K$55),"NA")</f>
        <v>1.1111111111111112</v>
      </c>
      <c r="L118" s="465">
        <f t="shared" si="90"/>
        <v>1.2162162162162162</v>
      </c>
      <c r="M118" s="589">
        <f t="shared" si="90"/>
        <v>1.7142857142857142</v>
      </c>
      <c r="N118" s="465">
        <f t="shared" ca="1" si="90"/>
        <v>3.8131728144284192</v>
      </c>
      <c r="O118" s="465">
        <f t="shared" ca="1" si="90"/>
        <v>5.1290940183756648</v>
      </c>
      <c r="P118" s="465">
        <f t="shared" ca="1" si="90"/>
        <v>6.8115024629844498</v>
      </c>
      <c r="Q118" s="465">
        <f t="shared" ca="1" si="90"/>
        <v>8.79120608992881</v>
      </c>
      <c r="R118" s="465">
        <f t="shared" ca="1" si="90"/>
        <v>9.356617349649742</v>
      </c>
      <c r="S118" s="465">
        <f t="shared" ca="1" si="90"/>
        <v>10.985821349576725</v>
      </c>
      <c r="T118" s="465"/>
      <c r="U118" s="837">
        <f ca="1">IFERROR(U41/SUM(U$54:U$55),"NA")</f>
        <v>10.985821349576725</v>
      </c>
      <c r="V118" s="167"/>
      <c r="W118" s="237"/>
      <c r="X118" s="772"/>
    </row>
    <row r="119" spans="1:24" s="18" customFormat="1" ht="15" customHeight="1" x14ac:dyDescent="0.35">
      <c r="B119" s="160"/>
      <c r="C119" s="9" t="s">
        <v>72</v>
      </c>
      <c r="D119" s="9"/>
      <c r="E119" s="9"/>
      <c r="F119" s="218"/>
      <c r="G119" s="9" t="s">
        <v>66</v>
      </c>
      <c r="H119" s="9"/>
      <c r="I119" s="218"/>
      <c r="J119" s="9"/>
      <c r="K119" s="465">
        <f t="shared" ref="K119:S119" si="91">IFERROR(SUM(K41:K42)/SUM(K$54:K$55),"NA")</f>
        <v>3.3333333333333335</v>
      </c>
      <c r="L119" s="465">
        <f t="shared" si="91"/>
        <v>2.7027027027027026</v>
      </c>
      <c r="M119" s="589">
        <f t="shared" si="91"/>
        <v>3</v>
      </c>
      <c r="N119" s="465">
        <f t="shared" ca="1" si="91"/>
        <v>6.5623137078992091</v>
      </c>
      <c r="O119" s="465">
        <f t="shared" ca="1" si="91"/>
        <v>7.5836841018317278</v>
      </c>
      <c r="P119" s="465">
        <f t="shared" ca="1" si="91"/>
        <v>9.265530340741142</v>
      </c>
      <c r="Q119" s="465">
        <f t="shared" ca="1" si="91"/>
        <v>11.290425083993165</v>
      </c>
      <c r="R119" s="465">
        <f t="shared" ca="1" si="91"/>
        <v>11.855836343714097</v>
      </c>
      <c r="S119" s="465">
        <f t="shared" ca="1" si="91"/>
        <v>13.485040343641078</v>
      </c>
      <c r="T119" s="465"/>
      <c r="U119" s="837">
        <f ca="1">IFERROR(SUM(U41:U42)/SUM(U$54:U$55),"NA")</f>
        <v>13.485040343641078</v>
      </c>
      <c r="V119" s="167"/>
      <c r="W119" s="129"/>
      <c r="X119" s="772"/>
    </row>
    <row r="120" spans="1:24" s="18" customFormat="1" ht="15" customHeight="1" x14ac:dyDescent="0.35">
      <c r="B120" s="160"/>
      <c r="C120" s="9" t="s">
        <v>73</v>
      </c>
      <c r="D120" s="9"/>
      <c r="E120" s="9"/>
      <c r="F120" s="218"/>
      <c r="G120" s="9" t="s">
        <v>66</v>
      </c>
      <c r="H120" s="9"/>
      <c r="I120" s="218"/>
      <c r="J120" s="9"/>
      <c r="K120" s="465">
        <f>IFERROR(SUM(K41:K44)/K56,"NA")</f>
        <v>5.1481481481481479</v>
      </c>
      <c r="L120" s="465">
        <f t="shared" ref="L120:U120" si="92">IFERROR(SUM(L41:L44)/L56,"NA")</f>
        <v>4.2972972972972974</v>
      </c>
      <c r="M120" s="589">
        <f t="shared" si="92"/>
        <v>4.0571428571428569</v>
      </c>
      <c r="N120" s="465">
        <f t="shared" ca="1" si="92"/>
        <v>7.4168383356197136</v>
      </c>
      <c r="O120" s="465">
        <f t="shared" ca="1" si="92"/>
        <v>8.4202902219430023</v>
      </c>
      <c r="P120" s="465">
        <f t="shared" ca="1" si="92"/>
        <v>10.102353847056174</v>
      </c>
      <c r="Q120" s="465">
        <f t="shared" ca="1" si="92"/>
        <v>12.129746129499779</v>
      </c>
      <c r="R120" s="465">
        <f t="shared" ca="1" si="92"/>
        <v>12.695157389220707</v>
      </c>
      <c r="S120" s="465">
        <f t="shared" ca="1" si="92"/>
        <v>14.32436138914769</v>
      </c>
      <c r="T120" s="465"/>
      <c r="U120" s="837">
        <f t="shared" ca="1" si="92"/>
        <v>14.32436138914769</v>
      </c>
      <c r="V120" s="167"/>
      <c r="W120" s="129"/>
      <c r="X120" s="772"/>
    </row>
    <row r="121" spans="1:24" s="18" customFormat="1" ht="15" customHeight="1" x14ac:dyDescent="0.35">
      <c r="B121" s="160"/>
      <c r="C121" s="9"/>
      <c r="D121" s="9"/>
      <c r="E121" s="9"/>
      <c r="F121" s="9"/>
      <c r="G121" s="9"/>
      <c r="H121" s="9"/>
      <c r="I121" s="9"/>
      <c r="J121" s="9"/>
      <c r="K121" s="460"/>
      <c r="L121" s="460"/>
      <c r="M121" s="790"/>
      <c r="N121" s="460"/>
      <c r="O121" s="460"/>
      <c r="P121" s="460"/>
      <c r="Q121" s="460"/>
      <c r="R121" s="460"/>
      <c r="S121" s="460"/>
      <c r="T121" s="460"/>
      <c r="U121" s="838"/>
      <c r="V121" s="167"/>
      <c r="W121" s="129"/>
      <c r="X121" s="772"/>
    </row>
    <row r="122" spans="1:24" s="18" customFormat="1" ht="15" customHeight="1" x14ac:dyDescent="0.35">
      <c r="B122" s="160"/>
      <c r="C122" s="41" t="s">
        <v>74</v>
      </c>
      <c r="D122" s="41"/>
      <c r="E122" s="41"/>
      <c r="F122" s="9"/>
      <c r="G122" s="9"/>
      <c r="H122" s="9"/>
      <c r="I122" s="9"/>
      <c r="J122" s="9"/>
      <c r="K122" s="460"/>
      <c r="L122" s="460"/>
      <c r="M122" s="790"/>
      <c r="N122" s="460"/>
      <c r="O122" s="460"/>
      <c r="P122" s="460"/>
      <c r="Q122" s="460"/>
      <c r="R122" s="460"/>
      <c r="S122" s="460"/>
      <c r="T122" s="460"/>
      <c r="U122" s="838"/>
      <c r="V122" s="167"/>
      <c r="W122" s="129"/>
      <c r="X122" s="772"/>
    </row>
    <row r="123" spans="1:24" s="18" customFormat="1" ht="15" customHeight="1" x14ac:dyDescent="0.35">
      <c r="A123" s="137"/>
      <c r="B123" s="153"/>
      <c r="C123" s="9" t="s">
        <v>75</v>
      </c>
      <c r="D123" s="9"/>
      <c r="E123" s="9"/>
      <c r="F123" s="218"/>
      <c r="G123" s="9" t="s">
        <v>47</v>
      </c>
      <c r="H123" s="9"/>
      <c r="I123" s="218"/>
      <c r="J123" s="9"/>
      <c r="K123" s="460" t="str">
        <f>IFERROR(K10/J10-1,"NA")</f>
        <v>NA</v>
      </c>
      <c r="L123" s="460">
        <f>IFERROR(L10/K10-1,"NA")</f>
        <v>5.555555555555558E-2</v>
      </c>
      <c r="M123" s="790">
        <f>IFERROR(M10/L10-1,"NA")</f>
        <v>5.2631578947368363E-2</v>
      </c>
      <c r="N123" s="460">
        <f>IFERROR(N10/L10-1,"NA")</f>
        <v>0.1080000000000001</v>
      </c>
      <c r="O123" s="460">
        <f>IFERROR(O10/M10-1,"NA")</f>
        <v>0.13154500000000002</v>
      </c>
      <c r="P123" s="460">
        <f>IFERROR(P10/O10-1,"NA")</f>
        <v>7.4999999999999956E-2</v>
      </c>
      <c r="Q123" s="460">
        <f>IFERROR(Q10/P10-1,"NA")</f>
        <v>5.0000000000000044E-2</v>
      </c>
      <c r="R123" s="460">
        <f>IFERROR(R10/Q10-1,"NA")</f>
        <v>5.0000000000000044E-2</v>
      </c>
      <c r="S123" s="460">
        <f>IFERROR(S10/R10-1,"NA")</f>
        <v>5.0000000000000044E-2</v>
      </c>
      <c r="T123" s="460"/>
      <c r="U123" s="838">
        <f>IFERROR((O10/P10)^(1/$U$7-$O$8)-1,"NA")</f>
        <v>5.9562968525572746E-2</v>
      </c>
      <c r="V123" s="167"/>
      <c r="W123" s="129"/>
      <c r="X123" s="772"/>
    </row>
    <row r="124" spans="1:24" s="18" customFormat="1" ht="15" customHeight="1" x14ac:dyDescent="0.35">
      <c r="B124" s="160"/>
      <c r="C124" s="9" t="s">
        <v>76</v>
      </c>
      <c r="D124" s="9"/>
      <c r="E124" s="9"/>
      <c r="F124" s="218"/>
      <c r="G124" s="9" t="s">
        <v>47</v>
      </c>
      <c r="H124" s="9"/>
      <c r="I124" s="218"/>
      <c r="J124" s="9"/>
      <c r="K124" s="460" t="str">
        <f>IFERROR(K14/J14-1,"NA")</f>
        <v>NA</v>
      </c>
      <c r="L124" s="460">
        <f>IFERROR(L14/K14-1,"NA")</f>
        <v>-2.0000000000000018E-2</v>
      </c>
      <c r="M124" s="790">
        <f>IFERROR(M14/L14-1,"NA")</f>
        <v>2.0408163265306145E-2</v>
      </c>
      <c r="N124" s="460">
        <f>IFERROR(N14/L14-1,"NA")</f>
        <v>7.4081632653061114E-2</v>
      </c>
      <c r="O124" s="460">
        <f>IFERROR(O14/M14-1,"NA")</f>
        <v>-4.2404000000001441E-3</v>
      </c>
      <c r="P124" s="460">
        <f>IFERROR(P14/O14-1,"NA")</f>
        <v>7.5000000000000178E-2</v>
      </c>
      <c r="Q124" s="460">
        <f>IFERROR(Q14/P14-1,"NA")</f>
        <v>7.3863636363636243E-2</v>
      </c>
      <c r="R124" s="460">
        <f>IFERROR(R14/Q14-1,"NA")</f>
        <v>5.0000000000000266E-2</v>
      </c>
      <c r="S124" s="460">
        <f>IFERROR(S14/R14-1,"NA")</f>
        <v>5.0000000000000044E-2</v>
      </c>
      <c r="T124" s="460"/>
      <c r="U124" s="838">
        <f>IFERROR((O14/P14)^(1/$U$7-$O$8)-1,"NA")</f>
        <v>5.9562968525572746E-2</v>
      </c>
      <c r="V124" s="167"/>
      <c r="W124" s="129"/>
      <c r="X124" s="772"/>
    </row>
    <row r="125" spans="1:24" s="18" customFormat="1" ht="15" customHeight="1" x14ac:dyDescent="0.35">
      <c r="B125" s="160"/>
      <c r="C125" s="9" t="s">
        <v>77</v>
      </c>
      <c r="D125" s="9"/>
      <c r="E125" s="9"/>
      <c r="F125" s="218"/>
      <c r="G125" s="9" t="s">
        <v>47</v>
      </c>
      <c r="H125" s="9"/>
      <c r="I125" s="218"/>
      <c r="J125" s="9"/>
      <c r="K125" s="460" t="str">
        <f>IFERROR(K18/J18-1,"NA")</f>
        <v>NA</v>
      </c>
      <c r="L125" s="460">
        <f>IFERROR(L18/K18-1,"NA")</f>
        <v>9.92366412213741E-2</v>
      </c>
      <c r="M125" s="790">
        <f>IFERROR(M18/L18-1,"NA")</f>
        <v>-0.36111111111111116</v>
      </c>
      <c r="N125" s="460">
        <f>IFERROR(N18/L18-1,"NA")</f>
        <v>-0.11006944444444444</v>
      </c>
      <c r="O125" s="460">
        <f>IFERROR(O18/M18-1,"NA")</f>
        <v>0.19639639328063208</v>
      </c>
      <c r="P125" s="460">
        <f>IFERROR(P18/O18-1,"NA")</f>
        <v>7.4999999999999956E-2</v>
      </c>
      <c r="Q125" s="460">
        <f>IFERROR(Q18/P18-1,"NA")</f>
        <v>6.6121495327102764E-2</v>
      </c>
      <c r="R125" s="460">
        <f>IFERROR(R18/Q18-1,"NA")</f>
        <v>-1.1242603550294383E-3</v>
      </c>
      <c r="S125" s="460">
        <f>IFERROR(S18/R18-1,"NA")</f>
        <v>-1.9735205260351996E-2</v>
      </c>
      <c r="T125" s="460"/>
      <c r="U125" s="838">
        <f>IFERROR((O18/P18)^(1/$U$7-$O$8)-1,"NA")</f>
        <v>5.9562968525572746E-2</v>
      </c>
      <c r="V125" s="167"/>
      <c r="W125" s="129"/>
      <c r="X125" s="772"/>
    </row>
    <row r="126" spans="1:24" s="18" customFormat="1" ht="15" customHeight="1" x14ac:dyDescent="0.35">
      <c r="B126" s="160"/>
      <c r="C126" s="9" t="s">
        <v>78</v>
      </c>
      <c r="D126" s="9"/>
      <c r="E126" s="9"/>
      <c r="F126" s="218"/>
      <c r="G126" s="9" t="s">
        <v>47</v>
      </c>
      <c r="H126" s="9"/>
      <c r="I126" s="218"/>
      <c r="J126" s="9"/>
      <c r="K126" s="460" t="str">
        <f>IFERROR(K22/J22-1,"NA")</f>
        <v>NA</v>
      </c>
      <c r="L126" s="460">
        <f>IFERROR(L22/K22-1,"NA")</f>
        <v>0.10743801652892571</v>
      </c>
      <c r="M126" s="790">
        <f>IFERROR(M22/L22-1,"NA")</f>
        <v>-0.38805970149253732</v>
      </c>
      <c r="N126" s="460">
        <f>IFERROR(N22/L22-1,"NA")</f>
        <v>-4.3656716417910468E-2</v>
      </c>
      <c r="O126" s="460">
        <f>IFERROR(O22/M22-1,"NA")</f>
        <v>-2.3555266075388492E-2</v>
      </c>
      <c r="P126" s="460">
        <f>IFERROR(P22/O22-1,"NA")</f>
        <v>0.10310094973830064</v>
      </c>
      <c r="Q126" s="460">
        <f>IFERROR(Q22/P22-1,"NA")</f>
        <v>8.85803261016751E-2</v>
      </c>
      <c r="R126" s="460">
        <f>IFERROR(R22/Q22-1,"NA")</f>
        <v>-1.4750533332451576E-3</v>
      </c>
      <c r="S126" s="460">
        <f>IFERROR(S22/R22-1,"NA")</f>
        <v>-7.7982444402002971E-2</v>
      </c>
      <c r="T126" s="460"/>
      <c r="U126" s="838">
        <f>IFERROR((O22/P22)^(1/$U$7-$O$8)-1,"NA")</f>
        <v>8.1663579252580609E-2</v>
      </c>
      <c r="V126" s="167"/>
      <c r="W126" s="129"/>
      <c r="X126" s="772"/>
    </row>
    <row r="127" spans="1:24" s="18" customFormat="1" ht="15" customHeight="1" x14ac:dyDescent="0.35">
      <c r="B127" s="160"/>
      <c r="C127" s="9" t="s">
        <v>79</v>
      </c>
      <c r="D127" s="9"/>
      <c r="E127" s="9"/>
      <c r="F127" s="218"/>
      <c r="G127" s="9" t="s">
        <v>47</v>
      </c>
      <c r="H127" s="9"/>
      <c r="I127" s="218"/>
      <c r="J127" s="9"/>
      <c r="K127" s="460" t="str">
        <f>IFERROR(K31/J31-1,"NA")</f>
        <v>NA</v>
      </c>
      <c r="L127" s="460">
        <f>IFERROR(L31/K31-1,"NA")</f>
        <v>0.10927505330490406</v>
      </c>
      <c r="M127" s="790">
        <f>IFERROR(M31/L31-1,"NA")</f>
        <v>-0.4046131667467564</v>
      </c>
      <c r="N127" s="460">
        <f>IFERROR(N31/L31-1,"NA")</f>
        <v>-5.314752522825561E-2</v>
      </c>
      <c r="O127" s="460">
        <f>IFERROR(O31/M31-1,"NA")</f>
        <v>-2.5750209112921585E-2</v>
      </c>
      <c r="P127" s="460">
        <f>IFERROR(P31/O31-1,"NA")</f>
        <v>0.11936268746200884</v>
      </c>
      <c r="Q127" s="460">
        <f>IFERROR(Q31/P31-1,"NA")</f>
        <v>0.10152605546820004</v>
      </c>
      <c r="R127" s="460">
        <f>IFERROR(R31/Q31-1,"NA")</f>
        <v>6.537973251030671E-3</v>
      </c>
      <c r="S127" s="460">
        <f>IFERROR(S31/R31-1,"NA")</f>
        <v>-7.1950311629956909E-2</v>
      </c>
      <c r="T127" s="460"/>
      <c r="U127" s="838">
        <f>IFERROR((O31/P31)^(1/$U$7-$O$8)-1,"NA")</f>
        <v>9.4401452873055458E-2</v>
      </c>
      <c r="V127" s="167"/>
      <c r="W127" s="129"/>
      <c r="X127" s="772"/>
    </row>
    <row r="128" spans="1:24" s="18" customFormat="1" ht="15" customHeight="1" x14ac:dyDescent="0.35">
      <c r="B128" s="160"/>
      <c r="C128" s="9" t="s">
        <v>80</v>
      </c>
      <c r="D128" s="9"/>
      <c r="E128" s="9"/>
      <c r="F128" s="218"/>
      <c r="G128" s="9" t="s">
        <v>47</v>
      </c>
      <c r="H128" s="9"/>
      <c r="I128" s="218"/>
      <c r="J128" s="9"/>
      <c r="K128" s="460" t="str">
        <f>IFERROR(K50/J50-1,"NA")</f>
        <v>NA</v>
      </c>
      <c r="L128" s="460">
        <f>IFERROR(L50/K50-1,"NA")</f>
        <v>9.1185410334346573E-2</v>
      </c>
      <c r="M128" s="790">
        <f>IFERROR(M50/L50-1,"NA")</f>
        <v>2.2284122562674202E-2</v>
      </c>
      <c r="N128" s="460">
        <f ca="1">IFERROR(N50/L50-1,"NA")</f>
        <v>-0.25709354370969584</v>
      </c>
      <c r="O128" s="460">
        <f ca="1">IFERROR(O50/M50-1,"NA")</f>
        <v>-0.23836195113776348</v>
      </c>
      <c r="P128" s="460">
        <f ca="1">IFERROR(P50/O50-1,"NA")</f>
        <v>5.6186763878984136E-2</v>
      </c>
      <c r="Q128" s="460">
        <f ca="1">IFERROR(Q50/P50-1,"NA")</f>
        <v>6.6132759377383943E-2</v>
      </c>
      <c r="R128" s="460">
        <f ca="1">IFERROR(R50/Q50-1,"NA")</f>
        <v>6.4197243616326061E-2</v>
      </c>
      <c r="S128" s="460">
        <f ca="1">IFERROR(S50/R50-1,"NA")</f>
        <v>4.9922379258053429E-2</v>
      </c>
      <c r="T128" s="460"/>
      <c r="U128" s="838">
        <f ca="1">IFERROR((O50/P50)^(1/$U$7-$O$8)-1,"NA")</f>
        <v>4.4702361696169923E-2</v>
      </c>
      <c r="V128" s="167"/>
      <c r="W128" s="129"/>
      <c r="X128" s="772"/>
    </row>
    <row r="129" spans="2:24" s="18" customFormat="1" ht="15" customHeight="1" x14ac:dyDescent="0.35">
      <c r="B129" s="160"/>
      <c r="C129" s="9" t="s">
        <v>81</v>
      </c>
      <c r="D129" s="9"/>
      <c r="E129" s="9"/>
      <c r="F129" s="218"/>
      <c r="G129" s="9" t="s">
        <v>47</v>
      </c>
      <c r="H129" s="9"/>
      <c r="I129" s="218"/>
      <c r="J129" s="9"/>
      <c r="K129" s="460" t="str">
        <f>IFERROR(K62/J62-1,"NA")</f>
        <v>NA</v>
      </c>
      <c r="L129" s="460">
        <f>IFERROR(L62/K62-1,"NA")</f>
        <v>3.289473684210531E-2</v>
      </c>
      <c r="M129" s="790">
        <f>IFERROR(M62/L62-1,"NA")</f>
        <v>-0.15923566878980888</v>
      </c>
      <c r="N129" s="460">
        <f ca="1">IFERROR(N62/L62-1,"NA")</f>
        <v>-0.67535993805078065</v>
      </c>
      <c r="O129" s="460">
        <f ca="1">IFERROR(O62/M62-1,"NA")</f>
        <v>-0.31381582938271246</v>
      </c>
      <c r="P129" s="460">
        <f ca="1">IFERROR(P62/O62-1,"NA")</f>
        <v>0.48948247587981153</v>
      </c>
      <c r="Q129" s="460">
        <f ca="1">IFERROR(Q62/P62-1,"NA")</f>
        <v>0.36198995933685918</v>
      </c>
      <c r="R129" s="460">
        <f ca="1">IFERROR(R62/Q62-1,"NA")</f>
        <v>0.26751786054689242</v>
      </c>
      <c r="S129" s="460">
        <f ca="1">IFERROR(S62/R62-1,"NA")</f>
        <v>0.19587090236885785</v>
      </c>
      <c r="T129" s="460"/>
      <c r="U129" s="838">
        <f ca="1">IFERROR((O62/P62)^(1/$U$7-$O$8)-1,"NA")</f>
        <v>0.37539777803757368</v>
      </c>
      <c r="V129" s="167"/>
      <c r="W129" s="129"/>
      <c r="X129" s="772"/>
    </row>
    <row r="130" spans="2:24" s="18" customFormat="1" ht="15" customHeight="1" x14ac:dyDescent="0.35">
      <c r="B130" s="160"/>
      <c r="C130" s="9"/>
      <c r="D130" s="9"/>
      <c r="E130" s="9"/>
      <c r="F130" s="9"/>
      <c r="G130" s="9"/>
      <c r="H130" s="9"/>
      <c r="I130" s="9"/>
      <c r="J130" s="9"/>
      <c r="K130" s="460"/>
      <c r="L130" s="460"/>
      <c r="M130" s="790"/>
      <c r="N130" s="460"/>
      <c r="O130" s="460"/>
      <c r="P130" s="460"/>
      <c r="Q130" s="460"/>
      <c r="R130" s="460"/>
      <c r="S130" s="460"/>
      <c r="T130" s="460"/>
      <c r="U130" s="838"/>
      <c r="V130" s="167"/>
      <c r="W130" s="129"/>
      <c r="X130" s="772"/>
    </row>
    <row r="131" spans="2:24" s="18" customFormat="1" ht="15" customHeight="1" x14ac:dyDescent="0.35">
      <c r="B131" s="160"/>
      <c r="C131" s="41" t="s">
        <v>82</v>
      </c>
      <c r="D131" s="41"/>
      <c r="E131" s="41"/>
      <c r="F131" s="9"/>
      <c r="G131" s="9"/>
      <c r="H131" s="9"/>
      <c r="I131" s="9"/>
      <c r="J131" s="9"/>
      <c r="K131" s="460"/>
      <c r="L131" s="460"/>
      <c r="M131" s="790"/>
      <c r="N131" s="460"/>
      <c r="O131" s="460"/>
      <c r="P131" s="460"/>
      <c r="Q131" s="460"/>
      <c r="R131" s="460"/>
      <c r="S131" s="460"/>
      <c r="T131" s="460"/>
      <c r="U131" s="838"/>
      <c r="V131" s="167"/>
      <c r="W131" s="129"/>
      <c r="X131" s="772"/>
    </row>
    <row r="132" spans="2:24" s="18" customFormat="1" ht="15" customHeight="1" x14ac:dyDescent="0.35">
      <c r="B132" s="160"/>
      <c r="C132" s="9" t="s">
        <v>83</v>
      </c>
      <c r="D132" s="9"/>
      <c r="E132" s="9"/>
      <c r="F132" s="218"/>
      <c r="G132" s="126" t="str">
        <f>Assumptions!$G$14</f>
        <v>USD</v>
      </c>
      <c r="H132" s="126"/>
      <c r="I132" s="218"/>
      <c r="J132" s="126"/>
      <c r="K132" s="466">
        <f>DCF!I18+DCF!I19</f>
        <v>0</v>
      </c>
      <c r="L132" s="466">
        <f>DCF!J18+DCF!J19</f>
        <v>0</v>
      </c>
      <c r="M132" s="791">
        <f>DCF!M18+DCF!M19</f>
        <v>0</v>
      </c>
      <c r="N132" s="466">
        <f>DCF!M18+DCF!M19</f>
        <v>0</v>
      </c>
      <c r="O132" s="466">
        <f>DCF!N18+DCF!N19</f>
        <v>600513.511363636</v>
      </c>
      <c r="P132" s="466">
        <f>DCF!O18+DCF!O19</f>
        <v>662427.0247159088</v>
      </c>
      <c r="Q132" s="466">
        <f>DCF!P18+DCF!P19</f>
        <v>721105.02658380638</v>
      </c>
      <c r="R132" s="466">
        <f>DCF!Q18+DCF!Q19</f>
        <v>720041.35821072408</v>
      </c>
      <c r="S132" s="466">
        <f>DCF!R18+DCF!R19</f>
        <v>663890.77302691364</v>
      </c>
      <c r="T132" s="466"/>
      <c r="U132" s="839"/>
      <c r="V132" s="167"/>
      <c r="W132" s="129"/>
      <c r="X132" s="772"/>
    </row>
    <row r="133" spans="2:24" s="18" customFormat="1" ht="15" customHeight="1" x14ac:dyDescent="0.35">
      <c r="B133" s="160"/>
      <c r="C133" s="9" t="s">
        <v>277</v>
      </c>
      <c r="D133" s="9"/>
      <c r="E133" s="9"/>
      <c r="F133" s="218"/>
      <c r="G133" s="126" t="s">
        <v>14</v>
      </c>
      <c r="H133" s="126"/>
      <c r="I133" s="218"/>
      <c r="J133" s="126"/>
      <c r="K133" s="465">
        <f>IFERROR(K10/AVERAGE(J152:K152),0)</f>
        <v>1.6544117647058822</v>
      </c>
      <c r="L133" s="465">
        <f>IFERROR(L10/AVERAGE(K152:L152),0)</f>
        <v>1.7304189435336976</v>
      </c>
      <c r="M133" s="589">
        <f>IFERROR(M10/AVERAGE(L152:M152),0)</f>
        <v>1.8214936247723132</v>
      </c>
      <c r="N133" s="465">
        <f ca="1">IFERROR(N10/AVERAGE(L152:N152),0)</f>
        <v>2.1337395063735567</v>
      </c>
      <c r="O133" s="465">
        <f ca="1">IFERROR(O10/AVERAGE(M152:O152),0)</f>
        <v>2.7097471375344728</v>
      </c>
      <c r="P133" s="465">
        <f ca="1">IFERROR(P10/AVERAGE(O152:P152),0)</f>
        <v>4.0554545936247957</v>
      </c>
      <c r="Q133" s="465">
        <f ca="1">IFERROR(Q10/AVERAGE(P152:Q152),0)</f>
        <v>5.1993448093314676</v>
      </c>
      <c r="R133" s="465">
        <f ca="1">IFERROR(R10/AVERAGE(Q152:R152),0)</f>
        <v>6.2178477408817621</v>
      </c>
      <c r="S133" s="465">
        <f ca="1">IFERROR(S10/AVERAGE(R152:S152),0)</f>
        <v>7.7919327626729782</v>
      </c>
      <c r="T133" s="465"/>
      <c r="U133" s="837"/>
      <c r="V133" s="167"/>
      <c r="W133" s="129"/>
      <c r="X133" s="772"/>
    </row>
    <row r="134" spans="2:24" s="18" customFormat="1" ht="15" customHeight="1" x14ac:dyDescent="0.35">
      <c r="B134" s="160"/>
      <c r="C134" s="19" t="s">
        <v>108</v>
      </c>
      <c r="D134" s="9"/>
      <c r="E134" s="9"/>
      <c r="F134" s="218"/>
      <c r="G134" s="9" t="s">
        <v>47</v>
      </c>
      <c r="H134" s="9"/>
      <c r="I134" s="218"/>
      <c r="J134" s="9"/>
      <c r="K134" s="460">
        <f>IFERROR(K132/AVERAGE(J152:K152),"NA")</f>
        <v>0</v>
      </c>
      <c r="L134" s="460">
        <f>IFERROR(L132/AVERAGE(K152:L152),"NA")</f>
        <v>0</v>
      </c>
      <c r="M134" s="790">
        <f>IFERROR(M132/AVERAGE(L152:M152),"NA")</f>
        <v>0</v>
      </c>
      <c r="N134" s="460">
        <f ca="1">IFERROR(N132/AVERAGE(L152:N152),"NA")</f>
        <v>0</v>
      </c>
      <c r="O134" s="460">
        <f ca="1">IFERROR(O132/AVERAGE(M152:O152),"NA")</f>
        <v>0.28761379679436305</v>
      </c>
      <c r="P134" s="460">
        <f ca="1">IFERROR(P132/AVERAGE(O152:P152),"NA")</f>
        <v>0.44169988538212279</v>
      </c>
      <c r="Q134" s="460">
        <f ca="1">IFERROR(Q132/AVERAGE(P152:Q152),"NA")</f>
        <v>0.58709386911585382</v>
      </c>
      <c r="R134" s="460">
        <f ca="1">IFERROR(R132/AVERAGE(Q152:R152),"NA")</f>
        <v>0.66768040201824275</v>
      </c>
      <c r="S134" s="460">
        <f ca="1">IFERROR(S132/AVERAGE(R152:S152),"NA")</f>
        <v>0.73472299654983764</v>
      </c>
      <c r="T134" s="460"/>
      <c r="U134" s="838"/>
      <c r="V134" s="167"/>
      <c r="W134" s="129"/>
      <c r="X134" s="772"/>
    </row>
    <row r="135" spans="2:24" s="18" customFormat="1" ht="15" customHeight="1" x14ac:dyDescent="0.35">
      <c r="B135" s="160"/>
      <c r="C135" s="9" t="s">
        <v>187</v>
      </c>
      <c r="D135" s="9"/>
      <c r="E135" s="9"/>
      <c r="F135" s="218"/>
      <c r="G135" s="9" t="s">
        <v>47</v>
      </c>
      <c r="H135" s="9"/>
      <c r="I135" s="218"/>
      <c r="J135" s="9"/>
      <c r="K135" s="460">
        <f>IFERROR((K31-K26)/AVERAGE(J50:K50),"NA")</f>
        <v>0.27868541033434652</v>
      </c>
      <c r="L135" s="460">
        <f>IFERROR((L31-L26)/AVERAGE(K50:L50),"NA")</f>
        <v>0.29501271802325579</v>
      </c>
      <c r="M135" s="790">
        <f>IFERROR((M31-M26)/AVERAGE(L50:M50),"NA")</f>
        <v>0.17256370523415979</v>
      </c>
      <c r="N135" s="460">
        <f ca="1">IFERROR((N31-N26)/AVERAGE(L50:N50),"NA")</f>
        <v>0.29423440552355234</v>
      </c>
      <c r="O135" s="460">
        <f ca="1">IFERROR((O31-O26)/AVERAGE(M50:O50),"NA")</f>
        <v>0.20107080676594896</v>
      </c>
      <c r="P135" s="460">
        <f ca="1">IFERROR((P31-P26)/AVERAGE(O50:P50),"NA")</f>
        <v>0.23388158116996749</v>
      </c>
      <c r="Q135" s="460">
        <f ca="1">IFERROR((Q31-Q26)/AVERAGE(P50:Q50),"NA")</f>
        <v>0.2389982649618714</v>
      </c>
      <c r="R135" s="460">
        <f ca="1">IFERROR((R31-R26)/AVERAGE(Q50:R50),"NA")</f>
        <v>0.2234786660686259</v>
      </c>
      <c r="S135" s="460">
        <f ca="1">IFERROR((S31-S26)/AVERAGE(R50:S50),"NA")</f>
        <v>0.1945583285475391</v>
      </c>
      <c r="T135" s="460"/>
      <c r="U135" s="838"/>
      <c r="V135" s="167"/>
      <c r="W135" s="129"/>
      <c r="X135" s="772"/>
    </row>
    <row r="136" spans="2:24" s="18" customFormat="1" ht="15" customHeight="1" x14ac:dyDescent="0.35">
      <c r="B136" s="160"/>
      <c r="C136" s="9" t="s">
        <v>85</v>
      </c>
      <c r="D136" s="9"/>
      <c r="E136" s="9"/>
      <c r="F136" s="218"/>
      <c r="G136" s="9" t="s">
        <v>47</v>
      </c>
      <c r="H136" s="9"/>
      <c r="I136" s="218"/>
      <c r="J136" s="9"/>
      <c r="K136" s="460">
        <f>IFERROR(K31/AVERAGE(J62:K62),"NA")</f>
        <v>0.57853618421052633</v>
      </c>
      <c r="L136" s="460">
        <f>IFERROR(L31/AVERAGE(K62:L62),"NA")</f>
        <v>0.63137135922330101</v>
      </c>
      <c r="M136" s="790">
        <f>IFERROR(M31/AVERAGE(L62:M62),"NA")</f>
        <v>0.40192474048442905</v>
      </c>
      <c r="N136" s="460">
        <f ca="1">IFERROR(N31/AVERAGE(L62:N62),"NA")</f>
        <v>0.81503877086755383</v>
      </c>
      <c r="O136" s="460">
        <f ca="1">IFERROR(O31/AVERAGE(M62:O62),"NA")</f>
        <v>0.62054845588546825</v>
      </c>
      <c r="P136" s="460">
        <f ca="1">IFERROR(P31/AVERAGE(O62:P62),"NA")</f>
        <v>0.56177192376594298</v>
      </c>
      <c r="Q136" s="460">
        <f ca="1">IFERROR(Q31/AVERAGE(P62:Q62),"NA")</f>
        <v>0.4378752850275085</v>
      </c>
      <c r="R136" s="460">
        <f ca="1">IFERROR(R31/AVERAGE(Q62:R62),"NA")</f>
        <v>0.33708080439787369</v>
      </c>
      <c r="S136" s="460">
        <f ca="1">IFERROR(S31/AVERAGE(R62:S62),"NA")</f>
        <v>0.25485612520371315</v>
      </c>
      <c r="T136" s="460"/>
      <c r="U136" s="838"/>
      <c r="V136" s="167"/>
      <c r="W136" s="129"/>
      <c r="X136" s="772"/>
    </row>
    <row r="137" spans="2:24" s="18" customFormat="1" ht="15" customHeight="1" x14ac:dyDescent="0.35">
      <c r="B137" s="160"/>
      <c r="C137" s="9"/>
      <c r="D137" s="9"/>
      <c r="E137" s="9"/>
      <c r="F137" s="218"/>
      <c r="G137" s="9"/>
      <c r="H137" s="9"/>
      <c r="I137" s="218"/>
      <c r="J137" s="9"/>
      <c r="K137" s="460"/>
      <c r="L137" s="460"/>
      <c r="M137" s="790"/>
      <c r="N137" s="460"/>
      <c r="O137" s="460"/>
      <c r="P137" s="460"/>
      <c r="Q137" s="460"/>
      <c r="R137" s="460"/>
      <c r="S137" s="460"/>
      <c r="T137" s="460"/>
      <c r="U137" s="838"/>
      <c r="V137" s="167"/>
      <c r="W137" s="129"/>
      <c r="X137" s="772"/>
    </row>
    <row r="138" spans="2:24" s="18" customFormat="1" ht="15" customHeight="1" x14ac:dyDescent="0.35">
      <c r="B138" s="160"/>
      <c r="C138" s="9" t="s">
        <v>86</v>
      </c>
      <c r="D138" s="9"/>
      <c r="E138" s="9"/>
      <c r="F138" s="218"/>
      <c r="G138" s="9" t="s">
        <v>66</v>
      </c>
      <c r="H138" s="9"/>
      <c r="I138" s="218"/>
      <c r="J138" s="9"/>
      <c r="K138" s="465">
        <f t="shared" ref="K138:S138" si="93">IFERROR(K10/K50,"NA")</f>
        <v>1.3677811550151975</v>
      </c>
      <c r="L138" s="465">
        <f t="shared" si="93"/>
        <v>1.3231197771587744</v>
      </c>
      <c r="M138" s="589">
        <f t="shared" si="93"/>
        <v>1.3623978201634876</v>
      </c>
      <c r="N138" s="465">
        <f t="shared" ca="1" si="93"/>
        <v>1.9733530388367624</v>
      </c>
      <c r="O138" s="465">
        <f t="shared" ca="1" si="93"/>
        <v>2.0240775046885005</v>
      </c>
      <c r="P138" s="465">
        <f t="shared" ca="1" si="93"/>
        <v>2.0601312115945491</v>
      </c>
      <c r="Q138" s="465">
        <f t="shared" ca="1" si="93"/>
        <v>2.0289572317780928</v>
      </c>
      <c r="R138" s="465">
        <f t="shared" ca="1" si="93"/>
        <v>2.001889317179129</v>
      </c>
      <c r="S138" s="465">
        <f t="shared" ca="1" si="93"/>
        <v>2.0020373168190684</v>
      </c>
      <c r="T138" s="465"/>
      <c r="U138" s="837">
        <f ca="1">IFERROR(U10/U50,"NA")</f>
        <v>10.559394938776213</v>
      </c>
      <c r="V138" s="167"/>
      <c r="W138" s="129"/>
      <c r="X138" s="772"/>
    </row>
    <row r="139" spans="2:24" s="18" customFormat="1" ht="15" customHeight="1" x14ac:dyDescent="0.35">
      <c r="B139" s="160"/>
      <c r="C139" s="9"/>
      <c r="D139" s="9"/>
      <c r="E139" s="9"/>
      <c r="F139" s="126"/>
      <c r="G139" s="126"/>
      <c r="H139" s="126"/>
      <c r="I139" s="126"/>
      <c r="J139" s="126"/>
      <c r="K139" s="183"/>
      <c r="L139" s="183"/>
      <c r="M139" s="431"/>
      <c r="N139" s="183"/>
      <c r="O139" s="183"/>
      <c r="P139" s="183"/>
      <c r="Q139" s="183"/>
      <c r="R139" s="183"/>
      <c r="S139" s="183"/>
      <c r="T139" s="183"/>
      <c r="U139" s="804"/>
      <c r="V139" s="167"/>
      <c r="W139" s="129"/>
      <c r="X139" s="772"/>
    </row>
    <row r="140" spans="2:24" s="18" customFormat="1" ht="15" customHeight="1" x14ac:dyDescent="0.35">
      <c r="B140" s="160"/>
      <c r="C140" s="41" t="s">
        <v>87</v>
      </c>
      <c r="D140" s="41"/>
      <c r="E140" s="41"/>
      <c r="F140" s="126"/>
      <c r="G140" s="126"/>
      <c r="H140" s="126"/>
      <c r="I140" s="126"/>
      <c r="J140" s="126"/>
      <c r="K140" s="183"/>
      <c r="L140" s="183"/>
      <c r="M140" s="431"/>
      <c r="N140" s="183"/>
      <c r="O140" s="183"/>
      <c r="P140" s="183"/>
      <c r="Q140" s="183"/>
      <c r="R140" s="183"/>
      <c r="S140" s="183"/>
      <c r="T140" s="183"/>
      <c r="U140" s="804"/>
      <c r="V140" s="167"/>
      <c r="W140" s="129"/>
      <c r="X140" s="772"/>
    </row>
    <row r="141" spans="2:24" s="18" customFormat="1" ht="15" customHeight="1" x14ac:dyDescent="0.35">
      <c r="B141" s="160"/>
      <c r="C141" s="9" t="str">
        <f>Assumptions!C24</f>
        <v>Receivables</v>
      </c>
      <c r="D141" s="9"/>
      <c r="E141" s="9"/>
      <c r="F141" s="9"/>
      <c r="G141" s="9" t="str">
        <f>Assumptions!E24</f>
        <v>Days Revenue</v>
      </c>
      <c r="H141" s="9"/>
      <c r="I141" s="9"/>
      <c r="J141" s="9"/>
      <c r="K141" s="181">
        <f ca="1">IFERROR(K42/K10*K$107,0)</f>
        <v>48.8</v>
      </c>
      <c r="L141" s="181">
        <f ca="1">IFERROR(L42/L10*L$107,0)</f>
        <v>42.263157894736842</v>
      </c>
      <c r="M141" s="450">
        <f ca="1">IFERROR(M160/M10*M$107,0)</f>
        <v>32.85</v>
      </c>
      <c r="N141" s="721">
        <f>Assumptions!G24</f>
        <v>30</v>
      </c>
      <c r="O141" s="181">
        <f>N141</f>
        <v>30</v>
      </c>
      <c r="P141" s="181">
        <f t="shared" ref="P141:S141" si="94">O141</f>
        <v>30</v>
      </c>
      <c r="Q141" s="181">
        <f t="shared" si="94"/>
        <v>30</v>
      </c>
      <c r="R141" s="181">
        <f t="shared" si="94"/>
        <v>30</v>
      </c>
      <c r="S141" s="181">
        <f t="shared" si="94"/>
        <v>30</v>
      </c>
      <c r="T141" s="181"/>
      <c r="U141" s="822"/>
      <c r="V141" s="167"/>
      <c r="W141" s="129"/>
      <c r="X141" s="772"/>
    </row>
    <row r="142" spans="2:24" s="18" customFormat="1" ht="15" customHeight="1" x14ac:dyDescent="0.35">
      <c r="B142" s="160"/>
      <c r="C142" s="9" t="str">
        <f>Assumptions!C25</f>
        <v>Inventory</v>
      </c>
      <c r="D142" s="9"/>
      <c r="E142" s="9"/>
      <c r="F142" s="9"/>
      <c r="G142" s="9" t="str">
        <f>Assumptions!E25</f>
        <v>Days Direct Costs</v>
      </c>
      <c r="H142" s="9"/>
      <c r="I142" s="9"/>
      <c r="J142" s="9"/>
      <c r="K142" s="181">
        <f ca="1">IFERROR(K161/-K$13*K$107,0)</f>
        <v>82.350000000000009</v>
      </c>
      <c r="L142" s="181">
        <f ca="1">IFERROR(L161/-L$13*L$107,0)</f>
        <v>87.282608695652172</v>
      </c>
      <c r="M142" s="450">
        <f ca="1">IFERROR(M161/-M$13*M$107,0)</f>
        <v>51.1</v>
      </c>
      <c r="N142" s="721">
        <f>Assumptions!G25</f>
        <v>15</v>
      </c>
      <c r="O142" s="181">
        <f>N142</f>
        <v>15</v>
      </c>
      <c r="P142" s="181">
        <f t="shared" ref="P142:S142" si="95">O142</f>
        <v>15</v>
      </c>
      <c r="Q142" s="181">
        <f t="shared" si="95"/>
        <v>15</v>
      </c>
      <c r="R142" s="181">
        <f t="shared" si="95"/>
        <v>15</v>
      </c>
      <c r="S142" s="181">
        <f t="shared" si="95"/>
        <v>15</v>
      </c>
      <c r="T142" s="181"/>
      <c r="U142" s="822"/>
      <c r="V142" s="167"/>
      <c r="W142" s="129"/>
      <c r="X142" s="772"/>
    </row>
    <row r="143" spans="2:24" s="18" customFormat="1" ht="15" customHeight="1" x14ac:dyDescent="0.35">
      <c r="B143" s="160"/>
      <c r="C143" s="9" t="str">
        <f>Assumptions!C26</f>
        <v>Payables</v>
      </c>
      <c r="D143" s="9"/>
      <c r="E143" s="9"/>
      <c r="F143" s="9"/>
      <c r="G143" s="9" t="str">
        <f>Assumptions!E26</f>
        <v>Days Direct Costs</v>
      </c>
      <c r="H143" s="9"/>
      <c r="I143" s="9"/>
      <c r="J143" s="9"/>
      <c r="K143" s="181">
        <f ca="1">IFERROR(K164/K$13*K$107,0)</f>
        <v>42.09</v>
      </c>
      <c r="L143" s="181">
        <f ca="1">IFERROR(L164/L$13*L$107,0)</f>
        <v>52.369565217391305</v>
      </c>
      <c r="M143" s="450">
        <f ca="1">IFERROR(M164/M$13*M$107,0)</f>
        <v>49.64</v>
      </c>
      <c r="N143" s="721">
        <f>Assumptions!G26</f>
        <v>20</v>
      </c>
      <c r="O143" s="181">
        <f>N143</f>
        <v>20</v>
      </c>
      <c r="P143" s="181">
        <f t="shared" ref="P143:S143" si="96">O143</f>
        <v>20</v>
      </c>
      <c r="Q143" s="181">
        <f t="shared" si="96"/>
        <v>20</v>
      </c>
      <c r="R143" s="181">
        <f t="shared" si="96"/>
        <v>20</v>
      </c>
      <c r="S143" s="181">
        <f t="shared" si="96"/>
        <v>20</v>
      </c>
      <c r="T143" s="181"/>
      <c r="U143" s="822"/>
      <c r="V143" s="167"/>
      <c r="W143" s="129"/>
      <c r="X143" s="772"/>
    </row>
    <row r="144" spans="2:24" s="18" customFormat="1" ht="15" customHeight="1" x14ac:dyDescent="0.35">
      <c r="B144" s="160"/>
      <c r="C144" s="795" t="s">
        <v>88</v>
      </c>
      <c r="D144" s="795"/>
      <c r="E144" s="795"/>
      <c r="F144" s="795"/>
      <c r="G144" s="795" t="s">
        <v>39</v>
      </c>
      <c r="H144" s="795"/>
      <c r="I144" s="795"/>
      <c r="J144" s="795"/>
      <c r="K144" s="796">
        <f ca="1">SUM(K141:K142)-K143</f>
        <v>89.06</v>
      </c>
      <c r="L144" s="796">
        <f t="shared" ref="L144:S144" ca="1" si="97">SUM(L141:L142)-L143</f>
        <v>77.176201372997696</v>
      </c>
      <c r="M144" s="797">
        <f t="shared" ca="1" si="97"/>
        <v>34.31</v>
      </c>
      <c r="N144" s="796">
        <f t="shared" si="97"/>
        <v>25</v>
      </c>
      <c r="O144" s="796">
        <f t="shared" si="97"/>
        <v>25</v>
      </c>
      <c r="P144" s="796">
        <f t="shared" si="97"/>
        <v>25</v>
      </c>
      <c r="Q144" s="796">
        <f t="shared" si="97"/>
        <v>25</v>
      </c>
      <c r="R144" s="796">
        <f t="shared" si="97"/>
        <v>25</v>
      </c>
      <c r="S144" s="796">
        <f t="shared" si="97"/>
        <v>25</v>
      </c>
      <c r="T144" s="796"/>
      <c r="U144" s="840"/>
      <c r="V144" s="167"/>
      <c r="W144" s="129"/>
      <c r="X144" s="772"/>
    </row>
    <row r="145" spans="1:24" s="18" customFormat="1" ht="15" customHeight="1" x14ac:dyDescent="0.35">
      <c r="B145" s="160"/>
      <c r="C145" s="9" t="str">
        <f>Assumptions!C20</f>
        <v>Income Tax Rate</v>
      </c>
      <c r="D145" s="9"/>
      <c r="E145" s="9"/>
      <c r="F145" s="9"/>
      <c r="G145" s="9" t="s">
        <v>47</v>
      </c>
      <c r="H145" s="9"/>
      <c r="I145" s="9"/>
      <c r="J145" s="9"/>
      <c r="K145" s="460">
        <f>-IFERROR(K30/K27,0)</f>
        <v>0.25</v>
      </c>
      <c r="L145" s="460">
        <f>-IFERROR(L30/L27,0)</f>
        <v>0.25</v>
      </c>
      <c r="M145" s="790">
        <f>-IFERROR(M30/M27,0)</f>
        <v>0.25</v>
      </c>
      <c r="N145" s="385">
        <f>Assumptions!$G20</f>
        <v>0.25</v>
      </c>
      <c r="O145" s="460">
        <f>M145</f>
        <v>0.25</v>
      </c>
      <c r="P145" s="460">
        <f t="shared" ref="P145:S145" si="98">O145</f>
        <v>0.25</v>
      </c>
      <c r="Q145" s="460">
        <f t="shared" si="98"/>
        <v>0.25</v>
      </c>
      <c r="R145" s="460">
        <f t="shared" si="98"/>
        <v>0.25</v>
      </c>
      <c r="S145" s="460">
        <f t="shared" si="98"/>
        <v>0.25</v>
      </c>
      <c r="T145" s="460"/>
      <c r="U145" s="838">
        <f>R145</f>
        <v>0.25</v>
      </c>
      <c r="V145" s="167"/>
      <c r="W145" s="129"/>
      <c r="X145" s="772"/>
    </row>
    <row r="146" spans="1:24" ht="15" customHeight="1" x14ac:dyDescent="0.35">
      <c r="A146" s="137"/>
      <c r="B146" s="153"/>
      <c r="C146" s="19"/>
      <c r="D146" s="19"/>
      <c r="E146" s="19"/>
      <c r="F146" s="19"/>
      <c r="G146" s="19"/>
      <c r="H146" s="19"/>
      <c r="I146" s="19"/>
      <c r="J146" s="19"/>
      <c r="K146" s="462"/>
      <c r="L146" s="462"/>
      <c r="M146" s="787"/>
      <c r="N146" s="462"/>
      <c r="O146" s="462"/>
      <c r="P146" s="462"/>
      <c r="Q146" s="462"/>
      <c r="R146" s="462"/>
      <c r="S146" s="462"/>
      <c r="T146" s="462"/>
      <c r="U146" s="834"/>
      <c r="V146" s="168"/>
      <c r="W146" s="141"/>
      <c r="X146" s="772"/>
    </row>
    <row r="147" spans="1:24" s="18" customFormat="1" ht="15" customHeight="1" x14ac:dyDescent="0.35">
      <c r="B147" s="160"/>
      <c r="C147" s="41" t="s">
        <v>89</v>
      </c>
      <c r="D147" s="41"/>
      <c r="E147" s="41"/>
      <c r="F147" s="467"/>
      <c r="G147" s="467"/>
      <c r="H147" s="467"/>
      <c r="I147" s="467"/>
      <c r="J147" s="467"/>
      <c r="K147" s="467"/>
      <c r="L147" s="467"/>
      <c r="M147" s="792"/>
      <c r="N147" s="467"/>
      <c r="O147" s="467"/>
      <c r="P147" s="467"/>
      <c r="Q147" s="467"/>
      <c r="R147" s="467"/>
      <c r="S147" s="467"/>
      <c r="T147" s="467"/>
      <c r="U147" s="841"/>
      <c r="V147" s="167"/>
      <c r="W147" s="461"/>
      <c r="X147" s="772"/>
    </row>
    <row r="148" spans="1:24" s="18" customFormat="1" ht="15" customHeight="1" x14ac:dyDescent="0.35">
      <c r="B148" s="160"/>
      <c r="C148" s="9" t="str">
        <f>C62</f>
        <v>Shareholder's Equity</v>
      </c>
      <c r="D148" s="9"/>
      <c r="E148" s="9"/>
      <c r="F148" s="218"/>
      <c r="G148" s="126" t="str">
        <f>Assumptions!$G$14</f>
        <v>USD</v>
      </c>
      <c r="H148" s="126"/>
      <c r="I148" s="218"/>
      <c r="J148" s="126"/>
      <c r="K148" s="412">
        <f>K62</f>
        <v>1520000</v>
      </c>
      <c r="L148" s="412">
        <f t="shared" ref="L148:S148" si="99">L62</f>
        <v>1570000</v>
      </c>
      <c r="M148" s="402">
        <f t="shared" si="99"/>
        <v>1320000</v>
      </c>
      <c r="N148" s="412">
        <f t="shared" ca="1" si="99"/>
        <v>509684.89726027427</v>
      </c>
      <c r="O148" s="412">
        <f t="shared" ca="1" si="99"/>
        <v>905763.10521481954</v>
      </c>
      <c r="P148" s="412">
        <f t="shared" ca="1" si="99"/>
        <v>1349118.2725159556</v>
      </c>
      <c r="Q148" s="412">
        <f t="shared" ca="1" si="99"/>
        <v>1837485.54112462</v>
      </c>
      <c r="R148" s="412">
        <f t="shared" ca="1" si="99"/>
        <v>2329045.7418721272</v>
      </c>
      <c r="S148" s="412">
        <f t="shared" ca="1" si="99"/>
        <v>2785238.0329909665</v>
      </c>
      <c r="T148" s="412"/>
      <c r="U148" s="842">
        <f ca="1">U62</f>
        <v>2785238.0329909665</v>
      </c>
      <c r="V148" s="167"/>
      <c r="W148" s="129"/>
      <c r="X148" s="772"/>
    </row>
    <row r="149" spans="1:24" s="18" customFormat="1" ht="15" customHeight="1" x14ac:dyDescent="0.35">
      <c r="B149" s="160"/>
      <c r="C149" s="9" t="str">
        <f>C58</f>
        <v>Long-Term Provisions</v>
      </c>
      <c r="D149" s="9"/>
      <c r="E149" s="9"/>
      <c r="F149" s="218"/>
      <c r="G149" s="126" t="str">
        <f>Assumptions!$G$14</f>
        <v>USD</v>
      </c>
      <c r="H149" s="126"/>
      <c r="I149" s="218"/>
      <c r="J149" s="126"/>
      <c r="K149" s="412">
        <f t="shared" ref="K149:S150" si="100">K58</f>
        <v>0</v>
      </c>
      <c r="L149" s="412">
        <f t="shared" si="100"/>
        <v>0</v>
      </c>
      <c r="M149" s="402">
        <f t="shared" si="100"/>
        <v>0</v>
      </c>
      <c r="N149" s="412">
        <f t="shared" si="100"/>
        <v>0</v>
      </c>
      <c r="O149" s="412">
        <f t="shared" si="100"/>
        <v>0</v>
      </c>
      <c r="P149" s="412">
        <f t="shared" si="100"/>
        <v>0</v>
      </c>
      <c r="Q149" s="412">
        <f t="shared" si="100"/>
        <v>0</v>
      </c>
      <c r="R149" s="412">
        <f t="shared" si="100"/>
        <v>0</v>
      </c>
      <c r="S149" s="412">
        <f t="shared" si="100"/>
        <v>0</v>
      </c>
      <c r="T149" s="412"/>
      <c r="U149" s="842">
        <f>U58</f>
        <v>0</v>
      </c>
      <c r="V149" s="167"/>
      <c r="W149" s="129"/>
      <c r="X149" s="772"/>
    </row>
    <row r="150" spans="1:24" s="18" customFormat="1" ht="15" customHeight="1" x14ac:dyDescent="0.35">
      <c r="B150" s="160"/>
      <c r="C150" s="9" t="str">
        <f>C59</f>
        <v>Financial Debt</v>
      </c>
      <c r="D150" s="9"/>
      <c r="E150" s="9"/>
      <c r="F150" s="218"/>
      <c r="G150" s="126" t="str">
        <f>Assumptions!$G$14</f>
        <v>USD</v>
      </c>
      <c r="H150" s="126"/>
      <c r="I150" s="218"/>
      <c r="J150" s="126"/>
      <c r="K150" s="412">
        <f t="shared" si="100"/>
        <v>1500000</v>
      </c>
      <c r="L150" s="412">
        <f t="shared" si="100"/>
        <v>1650000</v>
      </c>
      <c r="M150" s="402">
        <f t="shared" si="100"/>
        <v>2000000</v>
      </c>
      <c r="N150" s="412">
        <f t="shared" si="100"/>
        <v>2000000</v>
      </c>
      <c r="O150" s="412">
        <f t="shared" si="100"/>
        <v>1700000</v>
      </c>
      <c r="P150" s="412">
        <f t="shared" si="100"/>
        <v>1400000</v>
      </c>
      <c r="Q150" s="412">
        <f t="shared" si="100"/>
        <v>1100000</v>
      </c>
      <c r="R150" s="412">
        <f t="shared" si="100"/>
        <v>800000</v>
      </c>
      <c r="S150" s="412">
        <f t="shared" si="100"/>
        <v>500000</v>
      </c>
      <c r="T150" s="412"/>
      <c r="U150" s="842">
        <f>U59</f>
        <v>500000</v>
      </c>
      <c r="V150" s="167"/>
      <c r="W150" s="129"/>
      <c r="X150" s="772"/>
    </row>
    <row r="151" spans="1:24" s="18" customFormat="1" ht="15" customHeight="1" x14ac:dyDescent="0.35">
      <c r="B151" s="160"/>
      <c r="C151" s="36" t="s">
        <v>90</v>
      </c>
      <c r="D151" s="36"/>
      <c r="E151" s="36"/>
      <c r="F151" s="468"/>
      <c r="G151" s="469" t="str">
        <f>Assumptions!$G$14</f>
        <v>USD</v>
      </c>
      <c r="H151" s="469"/>
      <c r="I151" s="468"/>
      <c r="J151" s="469"/>
      <c r="K151" s="470">
        <f t="shared" ref="K151:S151" si="101">-K41</f>
        <v>-300000</v>
      </c>
      <c r="L151" s="470">
        <f t="shared" si="101"/>
        <v>-450000</v>
      </c>
      <c r="M151" s="793">
        <f t="shared" si="101"/>
        <v>-600000</v>
      </c>
      <c r="N151" s="470">
        <f t="shared" si="101"/>
        <v>-600000</v>
      </c>
      <c r="O151" s="470">
        <f t="shared" ca="1" si="101"/>
        <v>-971699.34309153142</v>
      </c>
      <c r="P151" s="470">
        <f t="shared" ca="1" si="101"/>
        <v>-1383738.0834920481</v>
      </c>
      <c r="Q151" s="470">
        <f t="shared" ca="1" si="101"/>
        <v>-1846341.9457330317</v>
      </c>
      <c r="R151" s="470">
        <f t="shared" ca="1" si="101"/>
        <v>-2063344.9667109591</v>
      </c>
      <c r="S151" s="470">
        <f t="shared" ca="1" si="101"/>
        <v>-2543752.2190717403</v>
      </c>
      <c r="T151" s="470"/>
      <c r="U151" s="843">
        <f ca="1">-U41</f>
        <v>-2543752.2190717403</v>
      </c>
      <c r="V151" s="167"/>
      <c r="W151" s="129"/>
      <c r="X151" s="772"/>
    </row>
    <row r="152" spans="1:24" s="18" customFormat="1" ht="15" customHeight="1" x14ac:dyDescent="0.35">
      <c r="B152" s="160"/>
      <c r="C152" s="41" t="s">
        <v>91</v>
      </c>
      <c r="D152" s="41"/>
      <c r="E152" s="41"/>
      <c r="F152" s="218"/>
      <c r="G152" s="471" t="str">
        <f>Assumptions!$G$14</f>
        <v>USD</v>
      </c>
      <c r="H152" s="471"/>
      <c r="I152" s="218"/>
      <c r="J152" s="471"/>
      <c r="K152" s="404">
        <f t="shared" ref="K152:S152" si="102">SUM(K148:K151)</f>
        <v>2720000</v>
      </c>
      <c r="L152" s="404">
        <f t="shared" si="102"/>
        <v>2770000</v>
      </c>
      <c r="M152" s="390">
        <f t="shared" si="102"/>
        <v>2720000</v>
      </c>
      <c r="N152" s="404">
        <f t="shared" ref="N152" ca="1" si="103">SUM(N148:N151)</f>
        <v>1909684.8972602743</v>
      </c>
      <c r="O152" s="404">
        <f t="shared" ca="1" si="102"/>
        <v>1634063.7621232879</v>
      </c>
      <c r="P152" s="404">
        <f t="shared" ca="1" si="102"/>
        <v>1365380.1890239073</v>
      </c>
      <c r="Q152" s="404">
        <f t="shared" ca="1" si="102"/>
        <v>1091143.5953915883</v>
      </c>
      <c r="R152" s="404">
        <f t="shared" ca="1" si="102"/>
        <v>1065700.7751611681</v>
      </c>
      <c r="S152" s="404">
        <f t="shared" ca="1" si="102"/>
        <v>741485.81391922617</v>
      </c>
      <c r="T152" s="404"/>
      <c r="U152" s="715">
        <f t="shared" ref="U152" ca="1" si="104">SUM(U148:U151)</f>
        <v>741485.81391922617</v>
      </c>
      <c r="V152" s="167"/>
      <c r="W152" s="129"/>
      <c r="X152" s="772"/>
    </row>
    <row r="153" spans="1:24" s="18" customFormat="1" ht="15" customHeight="1" x14ac:dyDescent="0.35">
      <c r="B153" s="160"/>
      <c r="C153" s="9"/>
      <c r="D153" s="9"/>
      <c r="E153" s="9"/>
      <c r="F153" s="9"/>
      <c r="G153" s="9"/>
      <c r="H153" s="9"/>
      <c r="I153" s="9"/>
      <c r="J153" s="9"/>
      <c r="K153" s="81"/>
      <c r="L153" s="81"/>
      <c r="M153" s="791"/>
      <c r="N153" s="81"/>
      <c r="O153" s="81"/>
      <c r="P153" s="81"/>
      <c r="Q153" s="81"/>
      <c r="R153" s="81"/>
      <c r="S153" s="81"/>
      <c r="T153" s="81"/>
      <c r="U153" s="839"/>
      <c r="V153" s="167"/>
      <c r="W153" s="129"/>
      <c r="X153" s="772"/>
    </row>
    <row r="154" spans="1:24" s="18" customFormat="1" ht="15" customHeight="1" x14ac:dyDescent="0.35">
      <c r="B154" s="160"/>
      <c r="C154" s="9" t="str">
        <f>Assumptions!C23</f>
        <v>Net Working Capital</v>
      </c>
      <c r="D154" s="9"/>
      <c r="E154" s="9"/>
      <c r="F154" s="218"/>
      <c r="G154" s="126" t="str">
        <f>Assumptions!$G$14</f>
        <v>USD</v>
      </c>
      <c r="H154" s="126"/>
      <c r="I154" s="218"/>
      <c r="J154" s="126"/>
      <c r="K154" s="412">
        <f>SUM(K42:K44)-K56</f>
        <v>820000</v>
      </c>
      <c r="L154" s="412">
        <f t="shared" ref="L154:U154" si="105">SUM(L42:L44)-L56</f>
        <v>770000</v>
      </c>
      <c r="M154" s="402">
        <f t="shared" si="105"/>
        <v>470000</v>
      </c>
      <c r="N154" s="412">
        <f t="shared" ca="1" si="105"/>
        <v>409684.89726027404</v>
      </c>
      <c r="O154" s="412">
        <f t="shared" ca="1" si="105"/>
        <v>434063.76212328766</v>
      </c>
      <c r="P154" s="412">
        <f t="shared" ca="1" si="105"/>
        <v>465380.18902390706</v>
      </c>
      <c r="Q154" s="412">
        <f t="shared" ca="1" si="105"/>
        <v>491143.59539158823</v>
      </c>
      <c r="R154" s="412">
        <f t="shared" ca="1" si="105"/>
        <v>515700.77516116761</v>
      </c>
      <c r="S154" s="412">
        <f t="shared" ca="1" si="105"/>
        <v>541485.81391922617</v>
      </c>
      <c r="T154" s="412"/>
      <c r="U154" s="842">
        <f t="shared" ca="1" si="105"/>
        <v>541485.81391922617</v>
      </c>
      <c r="V154" s="167"/>
      <c r="W154" s="129"/>
      <c r="X154" s="772"/>
    </row>
    <row r="155" spans="1:24" s="18" customFormat="1" ht="15" customHeight="1" x14ac:dyDescent="0.35">
      <c r="B155" s="160"/>
      <c r="C155" s="36" t="str">
        <f>C48</f>
        <v>Fixed Assets</v>
      </c>
      <c r="D155" s="36"/>
      <c r="E155" s="36"/>
      <c r="F155" s="468"/>
      <c r="G155" s="469" t="str">
        <f>Assumptions!$G$14</f>
        <v>USD</v>
      </c>
      <c r="H155" s="469"/>
      <c r="I155" s="468"/>
      <c r="J155" s="469"/>
      <c r="K155" s="470">
        <f t="shared" ref="K155:S155" si="106">K47</f>
        <v>1900000</v>
      </c>
      <c r="L155" s="470">
        <f t="shared" si="106"/>
        <v>2000000</v>
      </c>
      <c r="M155" s="793">
        <f t="shared" si="106"/>
        <v>2250000</v>
      </c>
      <c r="N155" s="470">
        <f t="shared" si="106"/>
        <v>1500000</v>
      </c>
      <c r="O155" s="470">
        <f t="shared" si="106"/>
        <v>1200000</v>
      </c>
      <c r="P155" s="470">
        <f t="shared" si="106"/>
        <v>900000</v>
      </c>
      <c r="Q155" s="470">
        <f t="shared" si="106"/>
        <v>600000</v>
      </c>
      <c r="R155" s="470">
        <f t="shared" si="106"/>
        <v>550000</v>
      </c>
      <c r="S155" s="470">
        <f t="shared" si="106"/>
        <v>200000</v>
      </c>
      <c r="T155" s="470"/>
      <c r="U155" s="843">
        <f>U47</f>
        <v>200000</v>
      </c>
      <c r="V155" s="167"/>
      <c r="W155" s="129"/>
      <c r="X155" s="772"/>
    </row>
    <row r="156" spans="1:24" s="18" customFormat="1" ht="15" customHeight="1" x14ac:dyDescent="0.35">
      <c r="B156" s="160"/>
      <c r="C156" s="416" t="s">
        <v>92</v>
      </c>
      <c r="D156" s="416"/>
      <c r="E156" s="416"/>
      <c r="F156" s="472"/>
      <c r="G156" s="201" t="str">
        <f>Assumptions!$G$14</f>
        <v>USD</v>
      </c>
      <c r="H156" s="201"/>
      <c r="I156" s="472"/>
      <c r="J156" s="201"/>
      <c r="K156" s="473">
        <f t="shared" ref="K156:S156" si="107">SUM(K154:K155)</f>
        <v>2720000</v>
      </c>
      <c r="L156" s="473">
        <f t="shared" si="107"/>
        <v>2770000</v>
      </c>
      <c r="M156" s="794">
        <f t="shared" si="107"/>
        <v>2720000</v>
      </c>
      <c r="N156" s="473">
        <f t="shared" ref="N156" ca="1" si="108">SUM(N154:N155)</f>
        <v>1909684.897260274</v>
      </c>
      <c r="O156" s="473">
        <f t="shared" ca="1" si="107"/>
        <v>1634063.7621232877</v>
      </c>
      <c r="P156" s="473">
        <f t="shared" ca="1" si="107"/>
        <v>1365380.1890239071</v>
      </c>
      <c r="Q156" s="473">
        <f t="shared" ca="1" si="107"/>
        <v>1091143.5953915883</v>
      </c>
      <c r="R156" s="473">
        <f t="shared" ca="1" si="107"/>
        <v>1065700.7751611676</v>
      </c>
      <c r="S156" s="473">
        <f t="shared" ca="1" si="107"/>
        <v>741485.81391922617</v>
      </c>
      <c r="T156" s="473"/>
      <c r="U156" s="844">
        <f t="shared" ref="U156" ca="1" si="109">SUM(U154:U155)</f>
        <v>741485.81391922617</v>
      </c>
      <c r="V156" s="167"/>
      <c r="W156" s="129"/>
      <c r="X156" s="772"/>
    </row>
    <row r="157" spans="1:24" s="438" customFormat="1" ht="15" hidden="1" customHeight="1" outlineLevel="1" x14ac:dyDescent="0.35">
      <c r="A157" s="433"/>
      <c r="B157" s="434"/>
      <c r="C157" s="767" t="s">
        <v>50</v>
      </c>
      <c r="D157" s="435"/>
      <c r="E157" s="435"/>
      <c r="F157" s="435"/>
      <c r="G157" s="435"/>
      <c r="H157" s="435"/>
      <c r="I157" s="435"/>
      <c r="J157" s="435"/>
      <c r="K157" s="436">
        <f>K152-K156</f>
        <v>0</v>
      </c>
      <c r="L157" s="436">
        <f t="shared" ref="L157:U157" si="110">L152-L156</f>
        <v>0</v>
      </c>
      <c r="M157" s="741">
        <f t="shared" si="110"/>
        <v>0</v>
      </c>
      <c r="N157" s="436">
        <f t="shared" ca="1" si="110"/>
        <v>0</v>
      </c>
      <c r="O157" s="436">
        <f t="shared" ca="1" si="110"/>
        <v>0</v>
      </c>
      <c r="P157" s="436">
        <f t="shared" ca="1" si="110"/>
        <v>0</v>
      </c>
      <c r="Q157" s="436">
        <f t="shared" ca="1" si="110"/>
        <v>0</v>
      </c>
      <c r="R157" s="436">
        <f t="shared" ca="1" si="110"/>
        <v>0</v>
      </c>
      <c r="S157" s="436">
        <f t="shared" ca="1" si="110"/>
        <v>0</v>
      </c>
      <c r="T157" s="436"/>
      <c r="U157" s="770">
        <f t="shared" ca="1" si="110"/>
        <v>0</v>
      </c>
      <c r="V157" s="437"/>
      <c r="X157" s="223">
        <f ca="1">SUM(K157:U157)</f>
        <v>0</v>
      </c>
    </row>
    <row r="158" spans="1:24" ht="15" customHeight="1" collapsed="1" x14ac:dyDescent="0.35">
      <c r="A158" s="137"/>
      <c r="B158" s="153"/>
      <c r="C158" s="19"/>
      <c r="D158" s="19"/>
      <c r="E158" s="19"/>
      <c r="F158" s="19"/>
      <c r="G158" s="19"/>
      <c r="H158" s="19"/>
      <c r="I158" s="19"/>
      <c r="J158" s="19"/>
      <c r="K158" s="462"/>
      <c r="L158" s="462"/>
      <c r="M158" s="787"/>
      <c r="N158" s="462"/>
      <c r="O158" s="462"/>
      <c r="P158" s="462"/>
      <c r="Q158" s="462"/>
      <c r="R158" s="462"/>
      <c r="S158" s="462"/>
      <c r="T158" s="462"/>
      <c r="U158" s="834"/>
      <c r="V158" s="168"/>
      <c r="W158" s="141"/>
      <c r="X158" s="772"/>
    </row>
    <row r="159" spans="1:24" s="18" customFormat="1" ht="15" customHeight="1" x14ac:dyDescent="0.35">
      <c r="B159" s="160"/>
      <c r="C159" s="41" t="str">
        <f>C154</f>
        <v>Net Working Capital</v>
      </c>
      <c r="D159" s="41"/>
      <c r="E159" s="41"/>
      <c r="F159" s="467"/>
      <c r="G159" s="467"/>
      <c r="H159" s="467"/>
      <c r="I159" s="467"/>
      <c r="J159" s="467"/>
      <c r="K159" s="467"/>
      <c r="L159" s="467"/>
      <c r="M159" s="792"/>
      <c r="N159" s="467"/>
      <c r="O159" s="467"/>
      <c r="P159" s="467"/>
      <c r="Q159" s="467"/>
      <c r="R159" s="467"/>
      <c r="S159" s="467"/>
      <c r="T159" s="467"/>
      <c r="U159" s="841"/>
      <c r="V159" s="167"/>
      <c r="W159" s="461"/>
      <c r="X159" s="772"/>
    </row>
    <row r="160" spans="1:24" ht="15" customHeight="1" x14ac:dyDescent="0.35">
      <c r="A160" s="137"/>
      <c r="B160" s="153"/>
      <c r="C160" s="19" t="str">
        <f>C42</f>
        <v>Receivables</v>
      </c>
      <c r="D160" s="19"/>
      <c r="E160" s="19"/>
      <c r="F160" s="252"/>
      <c r="G160" s="179" t="str">
        <f>Assumptions!$G$14</f>
        <v>USD</v>
      </c>
      <c r="H160" s="179"/>
      <c r="I160" s="252"/>
      <c r="J160" s="179"/>
      <c r="K160" s="806">
        <f t="shared" ref="K160:M162" si="111">K42</f>
        <v>600000</v>
      </c>
      <c r="L160" s="806">
        <f t="shared" si="111"/>
        <v>550000</v>
      </c>
      <c r="M160" s="807">
        <f t="shared" si="111"/>
        <v>450000</v>
      </c>
      <c r="N160" s="806">
        <f ca="1">IFERROR(N10*N141/N$107,0)</f>
        <v>432575.34246575343</v>
      </c>
      <c r="O160" s="806">
        <f t="shared" ref="O160:S160" ca="1" si="112">IFERROR(O10*O141/O$107,0)</f>
        <v>465018.49315068492</v>
      </c>
      <c r="P160" s="806">
        <f t="shared" ca="1" si="112"/>
        <v>498529.04713114753</v>
      </c>
      <c r="Q160" s="806">
        <f t="shared" ca="1" si="112"/>
        <v>524889.62414383562</v>
      </c>
      <c r="R160" s="806">
        <f t="shared" ca="1" si="112"/>
        <v>551134.10535102745</v>
      </c>
      <c r="S160" s="806">
        <f t="shared" ca="1" si="112"/>
        <v>578690.81061857892</v>
      </c>
      <c r="T160" s="806"/>
      <c r="U160" s="753">
        <f ca="1">S160</f>
        <v>578690.81061857892</v>
      </c>
      <c r="V160" s="168"/>
      <c r="W160" s="141"/>
      <c r="X160" s="772">
        <f ca="1">U160-U42</f>
        <v>0</v>
      </c>
    </row>
    <row r="161" spans="1:24" ht="15" customHeight="1" x14ac:dyDescent="0.35">
      <c r="A161" s="137"/>
      <c r="B161" s="153"/>
      <c r="C161" s="19" t="str">
        <f>C43</f>
        <v>Inventory</v>
      </c>
      <c r="D161" s="19"/>
      <c r="E161" s="19"/>
      <c r="F161" s="252"/>
      <c r="G161" s="179" t="str">
        <f>Assumptions!$G$14</f>
        <v>USD</v>
      </c>
      <c r="H161" s="179"/>
      <c r="I161" s="252"/>
      <c r="J161" s="179"/>
      <c r="K161" s="806">
        <f t="shared" si="111"/>
        <v>450000</v>
      </c>
      <c r="L161" s="806">
        <f t="shared" si="111"/>
        <v>550000</v>
      </c>
      <c r="M161" s="807">
        <f t="shared" si="111"/>
        <v>350000</v>
      </c>
      <c r="N161" s="806">
        <f ca="1">IFERROR(-N13*N142/N$107,0)</f>
        <v>108143.83561643836</v>
      </c>
      <c r="O161" s="806">
        <f t="shared" ref="O161:S161" ca="1" si="113">IFERROR(-O13*O142/O$107,0)</f>
        <v>130205.17808219181</v>
      </c>
      <c r="P161" s="806">
        <f t="shared" ca="1" si="113"/>
        <v>139588.13319672132</v>
      </c>
      <c r="Q161" s="806">
        <f t="shared" ca="1" si="113"/>
        <v>144344.64663955482</v>
      </c>
      <c r="R161" s="806">
        <f t="shared" ca="1" si="113"/>
        <v>151561.87897153257</v>
      </c>
      <c r="S161" s="806">
        <f t="shared" ca="1" si="113"/>
        <v>159139.9729201092</v>
      </c>
      <c r="T161" s="806"/>
      <c r="U161" s="753">
        <f t="shared" ref="U161:U165" ca="1" si="114">S161</f>
        <v>159139.9729201092</v>
      </c>
      <c r="V161" s="168"/>
      <c r="W161" s="141"/>
      <c r="X161" s="772">
        <f ca="1">U161-U43</f>
        <v>0</v>
      </c>
    </row>
    <row r="162" spans="1:24" ht="15" customHeight="1" x14ac:dyDescent="0.35">
      <c r="A162" s="137"/>
      <c r="B162" s="153"/>
      <c r="C162" s="19" t="str">
        <f>C44</f>
        <v>Other Current Assets</v>
      </c>
      <c r="D162" s="19"/>
      <c r="E162" s="808">
        <f>Assumptions!G27</f>
        <v>5.0000000000000001E-3</v>
      </c>
      <c r="F162" s="252"/>
      <c r="G162" s="179" t="str">
        <f>Assumptions!$G$14</f>
        <v>USD</v>
      </c>
      <c r="H162" s="179"/>
      <c r="I162" s="252"/>
      <c r="J162" s="179"/>
      <c r="K162" s="806">
        <f t="shared" si="111"/>
        <v>40000</v>
      </c>
      <c r="L162" s="806">
        <f t="shared" si="111"/>
        <v>40000</v>
      </c>
      <c r="M162" s="807">
        <f t="shared" si="111"/>
        <v>20000</v>
      </c>
      <c r="N162" s="806">
        <f>IFERROR(N10*$E$162,0)</f>
        <v>26315</v>
      </c>
      <c r="O162" s="806">
        <f t="shared" ref="O162:S162" si="115">IFERROR(O10*$E$162,0)</f>
        <v>28288.625</v>
      </c>
      <c r="P162" s="806">
        <f t="shared" si="115"/>
        <v>30410.271875000002</v>
      </c>
      <c r="Q162" s="806">
        <f t="shared" si="115"/>
        <v>31930.78546875</v>
      </c>
      <c r="R162" s="806">
        <f t="shared" si="115"/>
        <v>33527.324742187506</v>
      </c>
      <c r="S162" s="806">
        <f t="shared" si="115"/>
        <v>35203.69097929688</v>
      </c>
      <c r="T162" s="806"/>
      <c r="U162" s="753">
        <f t="shared" si="114"/>
        <v>35203.69097929688</v>
      </c>
      <c r="V162" s="168"/>
      <c r="W162" s="141"/>
      <c r="X162" s="772">
        <f>U162-U44</f>
        <v>0</v>
      </c>
    </row>
    <row r="163" spans="1:24" ht="15" customHeight="1" x14ac:dyDescent="0.35">
      <c r="A163" s="137"/>
      <c r="B163" s="153"/>
      <c r="C163" s="19" t="str">
        <f>C53</f>
        <v>Short-Term Provisions</v>
      </c>
      <c r="D163" s="19"/>
      <c r="E163" s="19"/>
      <c r="F163" s="252"/>
      <c r="G163" s="179" t="str">
        <f>Assumptions!$G$14</f>
        <v>USD</v>
      </c>
      <c r="H163" s="179"/>
      <c r="I163" s="252"/>
      <c r="J163" s="179"/>
      <c r="K163" s="806">
        <f t="shared" ref="K163:S163" si="116">-K53</f>
        <v>0</v>
      </c>
      <c r="L163" s="806">
        <f t="shared" si="116"/>
        <v>0</v>
      </c>
      <c r="M163" s="807">
        <f t="shared" si="116"/>
        <v>0</v>
      </c>
      <c r="N163" s="806">
        <f t="shared" si="116"/>
        <v>0</v>
      </c>
      <c r="O163" s="806">
        <f t="shared" si="116"/>
        <v>0</v>
      </c>
      <c r="P163" s="806">
        <f t="shared" si="116"/>
        <v>0</v>
      </c>
      <c r="Q163" s="806">
        <f t="shared" si="116"/>
        <v>0</v>
      </c>
      <c r="R163" s="806">
        <f t="shared" si="116"/>
        <v>0</v>
      </c>
      <c r="S163" s="806">
        <f t="shared" si="116"/>
        <v>0</v>
      </c>
      <c r="T163" s="806"/>
      <c r="U163" s="753">
        <f t="shared" si="114"/>
        <v>0</v>
      </c>
      <c r="V163" s="168"/>
      <c r="W163" s="141"/>
      <c r="X163" s="772">
        <f>U163+U53</f>
        <v>0</v>
      </c>
    </row>
    <row r="164" spans="1:24" ht="15" customHeight="1" x14ac:dyDescent="0.35">
      <c r="A164" s="137"/>
      <c r="B164" s="153"/>
      <c r="C164" s="19" t="str">
        <f>C54</f>
        <v>Payables</v>
      </c>
      <c r="D164" s="19"/>
      <c r="E164" s="19"/>
      <c r="F164" s="252"/>
      <c r="G164" s="179" t="str">
        <f>Assumptions!$G$14</f>
        <v>USD</v>
      </c>
      <c r="H164" s="179"/>
      <c r="I164" s="252"/>
      <c r="J164" s="179"/>
      <c r="K164" s="806">
        <f t="shared" ref="K164:M165" si="117">-K54</f>
        <v>-230000</v>
      </c>
      <c r="L164" s="806">
        <f t="shared" si="117"/>
        <v>-330000</v>
      </c>
      <c r="M164" s="807">
        <f t="shared" si="117"/>
        <v>-340000</v>
      </c>
      <c r="N164" s="806">
        <f ca="1">IFERROR(N13*N143/N$107,0)</f>
        <v>-144191.78082191781</v>
      </c>
      <c r="O164" s="806">
        <f t="shared" ref="O164:S164" ca="1" si="118">IFERROR(O13*O143/O$107,0)</f>
        <v>-173606.90410958906</v>
      </c>
      <c r="P164" s="806">
        <f t="shared" ca="1" si="118"/>
        <v>-186117.51092896174</v>
      </c>
      <c r="Q164" s="806">
        <f t="shared" ca="1" si="118"/>
        <v>-192459.52885273972</v>
      </c>
      <c r="R164" s="806">
        <f t="shared" ca="1" si="118"/>
        <v>-202082.50529537676</v>
      </c>
      <c r="S164" s="806">
        <f t="shared" ca="1" si="118"/>
        <v>-212186.6305601456</v>
      </c>
      <c r="T164" s="806"/>
      <c r="U164" s="753">
        <f t="shared" ca="1" si="114"/>
        <v>-212186.6305601456</v>
      </c>
      <c r="V164" s="168"/>
      <c r="W164" s="141"/>
      <c r="X164" s="772">
        <f ca="1">U164+U54</f>
        <v>0</v>
      </c>
    </row>
    <row r="165" spans="1:24" ht="15" customHeight="1" x14ac:dyDescent="0.35">
      <c r="A165" s="137"/>
      <c r="B165" s="153"/>
      <c r="C165" s="19" t="str">
        <f>C55</f>
        <v>Other Current Liabilities</v>
      </c>
      <c r="D165" s="86"/>
      <c r="E165" s="808">
        <f>Assumptions!G28</f>
        <v>5.0000000000000001E-3</v>
      </c>
      <c r="F165" s="301"/>
      <c r="G165" s="203" t="str">
        <f>Assumptions!$G$14</f>
        <v>USD</v>
      </c>
      <c r="H165" s="203"/>
      <c r="I165" s="301"/>
      <c r="J165" s="203"/>
      <c r="K165" s="806">
        <f t="shared" si="117"/>
        <v>-40000</v>
      </c>
      <c r="L165" s="806">
        <f t="shared" si="117"/>
        <v>-40000</v>
      </c>
      <c r="M165" s="807">
        <f t="shared" si="117"/>
        <v>-10000</v>
      </c>
      <c r="N165" s="809">
        <f>IFERROR(N13*$E$165,0)</f>
        <v>-13157.5</v>
      </c>
      <c r="O165" s="809">
        <f t="shared" ref="O165:S165" si="119">IFERROR(O13*$E$165,0)</f>
        <v>-15841.630000000003</v>
      </c>
      <c r="P165" s="809">
        <f t="shared" si="119"/>
        <v>-17029.752250000001</v>
      </c>
      <c r="Q165" s="809">
        <f t="shared" si="119"/>
        <v>-17561.932007812502</v>
      </c>
      <c r="R165" s="809">
        <f t="shared" si="119"/>
        <v>-18440.028608203127</v>
      </c>
      <c r="S165" s="809">
        <f t="shared" si="119"/>
        <v>-19362.030038613288</v>
      </c>
      <c r="T165" s="809"/>
      <c r="U165" s="753">
        <f t="shared" si="114"/>
        <v>-19362.030038613288</v>
      </c>
      <c r="V165" s="168"/>
      <c r="W165" s="141"/>
      <c r="X165" s="772">
        <f>U165+U55</f>
        <v>0</v>
      </c>
    </row>
    <row r="166" spans="1:24" ht="15" customHeight="1" x14ac:dyDescent="0.35">
      <c r="A166" s="137"/>
      <c r="B166" s="153"/>
      <c r="C166" s="83" t="str">
        <f>C159</f>
        <v>Net Working Capital</v>
      </c>
      <c r="D166" s="66"/>
      <c r="E166" s="66"/>
      <c r="F166" s="252"/>
      <c r="G166" s="171" t="str">
        <f>Assumptions!$G$14</f>
        <v>USD</v>
      </c>
      <c r="H166" s="171"/>
      <c r="I166" s="252"/>
      <c r="J166" s="171"/>
      <c r="K166" s="810">
        <f>SUM(K160:K165)</f>
        <v>820000</v>
      </c>
      <c r="L166" s="810">
        <f t="shared" ref="L166:M166" si="120">SUM(L160:L165)</f>
        <v>770000</v>
      </c>
      <c r="M166" s="811">
        <f t="shared" si="120"/>
        <v>470000</v>
      </c>
      <c r="N166" s="810">
        <f t="shared" ref="N166" ca="1" si="121">SUM(N160:N165)</f>
        <v>409684.89726027404</v>
      </c>
      <c r="O166" s="810">
        <f t="shared" ref="O166" ca="1" si="122">SUM(O160:O165)</f>
        <v>434063.76212328766</v>
      </c>
      <c r="P166" s="810">
        <f t="shared" ref="P166" ca="1" si="123">SUM(P160:P165)</f>
        <v>465380.18902390701</v>
      </c>
      <c r="Q166" s="810">
        <f t="shared" ref="Q166" ca="1" si="124">SUM(Q160:Q165)</f>
        <v>491143.59539158823</v>
      </c>
      <c r="R166" s="810">
        <f t="shared" ref="R166" ca="1" si="125">SUM(R160:R165)</f>
        <v>515700.77516116766</v>
      </c>
      <c r="S166" s="810">
        <f t="shared" ref="S166:U166" ca="1" si="126">SUM(S160:S165)</f>
        <v>541485.81391922617</v>
      </c>
      <c r="T166" s="812"/>
      <c r="U166" s="754">
        <f t="shared" ca="1" si="126"/>
        <v>541485.81391922617</v>
      </c>
      <c r="V166" s="168"/>
      <c r="W166" s="141"/>
      <c r="X166" s="772"/>
    </row>
    <row r="167" spans="1:24" s="819" customFormat="1" ht="15" hidden="1" customHeight="1" outlineLevel="1" x14ac:dyDescent="0.35">
      <c r="A167" s="813"/>
      <c r="B167" s="814"/>
      <c r="C167" s="815" t="s">
        <v>50</v>
      </c>
      <c r="D167" s="816"/>
      <c r="E167" s="816"/>
      <c r="F167" s="816"/>
      <c r="G167" s="816"/>
      <c r="H167" s="816"/>
      <c r="I167" s="816"/>
      <c r="J167" s="816"/>
      <c r="K167" s="223">
        <f>K166-K154</f>
        <v>0</v>
      </c>
      <c r="L167" s="223">
        <f t="shared" ref="L167:U167" si="127">L166-L154</f>
        <v>0</v>
      </c>
      <c r="M167" s="817">
        <f t="shared" si="127"/>
        <v>0</v>
      </c>
      <c r="N167" s="223">
        <f t="shared" ca="1" si="127"/>
        <v>0</v>
      </c>
      <c r="O167" s="223">
        <f t="shared" ca="1" si="127"/>
        <v>0</v>
      </c>
      <c r="P167" s="223">
        <f t="shared" ca="1" si="127"/>
        <v>0</v>
      </c>
      <c r="Q167" s="223">
        <f t="shared" ca="1" si="127"/>
        <v>0</v>
      </c>
      <c r="R167" s="223">
        <f t="shared" ca="1" si="127"/>
        <v>0</v>
      </c>
      <c r="S167" s="223">
        <f t="shared" ca="1" si="127"/>
        <v>0</v>
      </c>
      <c r="T167" s="223"/>
      <c r="U167" s="828">
        <f t="shared" ca="1" si="127"/>
        <v>0</v>
      </c>
      <c r="V167" s="818"/>
      <c r="X167" s="223">
        <f ca="1">SUM(K167:U167)</f>
        <v>0</v>
      </c>
    </row>
    <row r="168" spans="1:24" s="18" customFormat="1" ht="15" customHeight="1" collapsed="1" x14ac:dyDescent="0.35">
      <c r="B168" s="190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93"/>
      <c r="N168" s="36"/>
      <c r="O168" s="36"/>
      <c r="P168" s="36"/>
      <c r="Q168" s="36"/>
      <c r="R168" s="36"/>
      <c r="S168" s="36"/>
      <c r="T168" s="36"/>
      <c r="U168" s="845"/>
      <c r="V168" s="194"/>
      <c r="W168" s="129"/>
      <c r="X168" s="772"/>
    </row>
    <row r="169" spans="1:24" s="18" customFormat="1" ht="15" customHeight="1" x14ac:dyDescent="0.35">
      <c r="X169" s="141"/>
    </row>
    <row r="170" spans="1:24" ht="15" customHeight="1" x14ac:dyDescent="0.35">
      <c r="A170" s="137"/>
      <c r="B170" s="137"/>
      <c r="C170" s="303" t="str">
        <f>"All amounts in "&amp;Assumptions!$G$14</f>
        <v>All amounts in USD</v>
      </c>
      <c r="D170" s="303"/>
      <c r="E170" s="303"/>
      <c r="F170" s="303"/>
      <c r="G170" s="303"/>
      <c r="H170" s="303"/>
      <c r="I170" s="303"/>
      <c r="J170" s="303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4" s="13" customFormat="1" ht="15" customHeight="1" x14ac:dyDescent="0.35">
      <c r="A171" s="719">
        <f>MAX(A$1:A170)+1</f>
        <v>5</v>
      </c>
      <c r="B171" s="196"/>
      <c r="C171" s="143" t="s">
        <v>199</v>
      </c>
      <c r="D171" s="143"/>
      <c r="E171" s="143"/>
      <c r="F171" s="143"/>
      <c r="G171" s="143" t="s">
        <v>45</v>
      </c>
      <c r="H171" s="143"/>
      <c r="I171" s="143"/>
      <c r="J171" s="143"/>
      <c r="K171" s="694">
        <f t="shared" ref="K171:U171" ca="1" si="128">K$7</f>
        <v>2024</v>
      </c>
      <c r="L171" s="694">
        <f t="shared" ca="1" si="128"/>
        <v>2025</v>
      </c>
      <c r="M171" s="695">
        <f t="shared" ca="1" si="128"/>
        <v>2026</v>
      </c>
      <c r="N171" s="871">
        <f t="shared" ca="1" si="128"/>
        <v>2026</v>
      </c>
      <c r="O171" s="871">
        <f t="shared" ca="1" si="128"/>
        <v>2027</v>
      </c>
      <c r="P171" s="871">
        <f t="shared" ca="1" si="128"/>
        <v>2028</v>
      </c>
      <c r="Q171" s="871">
        <f t="shared" ca="1" si="128"/>
        <v>2029</v>
      </c>
      <c r="R171" s="871">
        <f t="shared" ca="1" si="128"/>
        <v>2030</v>
      </c>
      <c r="S171" s="871">
        <f t="shared" ca="1" si="128"/>
        <v>2031</v>
      </c>
      <c r="T171" s="703"/>
      <c r="U171" s="704">
        <f t="shared" si="128"/>
        <v>5</v>
      </c>
      <c r="V171" s="197"/>
      <c r="X171" s="223"/>
    </row>
    <row r="172" spans="1:24" s="9" customFormat="1" ht="15" customHeight="1" x14ac:dyDescent="0.35">
      <c r="A172" s="137"/>
      <c r="B172" s="147"/>
      <c r="C172" s="148" t="str">
        <f>C$8</f>
        <v>Forecast Year</v>
      </c>
      <c r="D172" s="148"/>
      <c r="E172" s="148"/>
      <c r="F172" s="149"/>
      <c r="G172" s="149"/>
      <c r="H172" s="149"/>
      <c r="I172" s="150"/>
      <c r="J172" s="149"/>
      <c r="K172" s="150">
        <f t="shared" ref="K172:U172" si="129">K$8</f>
        <v>-2</v>
      </c>
      <c r="L172" s="150">
        <f t="shared" si="129"/>
        <v>-1</v>
      </c>
      <c r="M172" s="152">
        <f t="shared" si="129"/>
        <v>0</v>
      </c>
      <c r="N172" s="150">
        <f t="shared" si="129"/>
        <v>0</v>
      </c>
      <c r="O172" s="150">
        <f t="shared" si="129"/>
        <v>1</v>
      </c>
      <c r="P172" s="150">
        <f t="shared" si="129"/>
        <v>2</v>
      </c>
      <c r="Q172" s="150">
        <f t="shared" si="129"/>
        <v>3</v>
      </c>
      <c r="R172" s="150">
        <f t="shared" si="129"/>
        <v>4</v>
      </c>
      <c r="S172" s="150">
        <f t="shared" si="129"/>
        <v>5</v>
      </c>
      <c r="T172" s="150"/>
      <c r="U172" s="713">
        <f t="shared" si="129"/>
        <v>5</v>
      </c>
      <c r="V172" s="152"/>
      <c r="X172" s="141"/>
    </row>
    <row r="173" spans="1:24" ht="15" customHeight="1" x14ac:dyDescent="0.35">
      <c r="A173" s="137"/>
      <c r="B173" s="153"/>
      <c r="C173" s="137"/>
      <c r="D173" s="137"/>
      <c r="E173" s="137"/>
      <c r="F173" s="137"/>
      <c r="G173" s="137"/>
      <c r="H173" s="137"/>
      <c r="I173" s="137"/>
      <c r="J173" s="137"/>
      <c r="K173" s="19"/>
      <c r="L173" s="19"/>
      <c r="M173" s="31"/>
      <c r="N173" s="19"/>
      <c r="O173" s="19"/>
      <c r="P173" s="19"/>
      <c r="Q173" s="19"/>
      <c r="R173" s="19"/>
      <c r="S173" s="19"/>
      <c r="T173" s="19"/>
      <c r="U173" s="744"/>
      <c r="V173" s="31"/>
    </row>
    <row r="174" spans="1:24" s="139" customFormat="1" ht="15" customHeight="1" x14ac:dyDescent="0.35">
      <c r="B174" s="441"/>
      <c r="C174" s="137" t="str">
        <f>Assumptions!C18</f>
        <v>Depreciation period</v>
      </c>
      <c r="G174" s="313" t="str">
        <f>Assumptions!E18</f>
        <v>Years</v>
      </c>
      <c r="I174" s="671">
        <f>Assumptions!G18</f>
        <v>5</v>
      </c>
      <c r="K174" s="66"/>
      <c r="L174" s="66"/>
      <c r="M174" s="742"/>
      <c r="N174" s="98"/>
      <c r="O174" s="98"/>
      <c r="P174" s="98"/>
      <c r="Q174" s="98"/>
      <c r="R174" s="98"/>
      <c r="S174" s="98"/>
      <c r="T174" s="98"/>
      <c r="U174" s="745"/>
      <c r="V174" s="443"/>
      <c r="X174" s="141"/>
    </row>
    <row r="175" spans="1:24" ht="15" customHeight="1" x14ac:dyDescent="0.35">
      <c r="A175" s="137"/>
      <c r="B175" s="153"/>
      <c r="C175" s="137"/>
      <c r="D175" s="137"/>
      <c r="E175" s="137"/>
      <c r="F175" s="137"/>
      <c r="G175" s="137"/>
      <c r="H175" s="137"/>
      <c r="I175" s="137"/>
      <c r="J175" s="137"/>
      <c r="K175" s="19"/>
      <c r="L175" s="19"/>
      <c r="M175" s="31"/>
      <c r="N175" s="19"/>
      <c r="O175" s="19"/>
      <c r="P175" s="19"/>
      <c r="Q175" s="19"/>
      <c r="R175" s="19"/>
      <c r="S175" s="19"/>
      <c r="T175" s="19"/>
      <c r="U175" s="744"/>
      <c r="V175" s="31"/>
    </row>
    <row r="176" spans="1:24" s="139" customFormat="1" ht="15" customHeight="1" x14ac:dyDescent="0.35">
      <c r="B176" s="441"/>
      <c r="C176" s="139" t="str">
        <f>C86</f>
        <v>Capital Expenditures</v>
      </c>
      <c r="G176" s="442" t="str">
        <f>Assumptions!$G$14</f>
        <v>USD</v>
      </c>
      <c r="K176" s="66"/>
      <c r="L176" s="66"/>
      <c r="M176" s="443"/>
      <c r="N176" s="98">
        <f>Assumptions!P58</f>
        <v>1500000</v>
      </c>
      <c r="O176" s="98">
        <f>Assumptions!Q58</f>
        <v>0</v>
      </c>
      <c r="P176" s="98">
        <f>Assumptions!R58</f>
        <v>0</v>
      </c>
      <c r="Q176" s="98">
        <f>Assumptions!S58</f>
        <v>0</v>
      </c>
      <c r="R176" s="98">
        <f>Assumptions!T58</f>
        <v>250000</v>
      </c>
      <c r="S176" s="98">
        <f>Assumptions!U58</f>
        <v>0</v>
      </c>
      <c r="T176" s="98"/>
      <c r="U176" s="751">
        <f>SUM(N176:T176)</f>
        <v>1750000</v>
      </c>
      <c r="V176" s="443"/>
      <c r="X176" s="141"/>
    </row>
    <row r="177" spans="1:24" ht="15" hidden="1" customHeight="1" outlineLevel="1" x14ac:dyDescent="0.35">
      <c r="A177" s="137"/>
      <c r="B177" s="153"/>
      <c r="C177" s="137"/>
      <c r="D177" s="137"/>
      <c r="E177" s="137"/>
      <c r="F177" s="137"/>
      <c r="G177" s="137"/>
      <c r="H177" s="137"/>
      <c r="I177" s="137"/>
      <c r="J177" s="137"/>
      <c r="K177" s="19"/>
      <c r="L177" s="19"/>
      <c r="M177" s="31"/>
      <c r="N177" s="19"/>
      <c r="O177" s="19"/>
      <c r="P177" s="19"/>
      <c r="Q177" s="19"/>
      <c r="R177" s="19"/>
      <c r="S177" s="19"/>
      <c r="T177" s="19"/>
      <c r="U177" s="744"/>
      <c r="V177" s="31"/>
    </row>
    <row r="178" spans="1:24" ht="15" hidden="1" customHeight="1" outlineLevel="1" x14ac:dyDescent="0.35">
      <c r="A178" s="137"/>
      <c r="B178" s="153"/>
      <c r="C178" s="139" t="s">
        <v>26</v>
      </c>
      <c r="D178" s="139"/>
      <c r="E178" s="139"/>
      <c r="F178" s="137"/>
      <c r="G178" s="137"/>
      <c r="H178" s="137"/>
      <c r="I178" s="137"/>
      <c r="J178" s="137"/>
      <c r="K178" s="19"/>
      <c r="L178" s="19"/>
      <c r="M178" s="31"/>
      <c r="P178" s="19"/>
      <c r="Q178" s="19"/>
      <c r="R178" s="19"/>
      <c r="S178" s="19"/>
      <c r="T178" s="19"/>
      <c r="U178" s="752"/>
      <c r="V178" s="31"/>
    </row>
    <row r="179" spans="1:24" ht="15" hidden="1" customHeight="1" outlineLevel="1" x14ac:dyDescent="0.35">
      <c r="A179" s="137"/>
      <c r="B179" s="153"/>
      <c r="C179" s="294" cm="1">
        <f t="array" ref="C179:C184">TRANSPOSE(N172:S172)</f>
        <v>0</v>
      </c>
      <c r="D179" s="445"/>
      <c r="E179" s="445"/>
      <c r="F179" s="19"/>
      <c r="G179" s="313" t="str">
        <f>Assumptions!$G$14</f>
        <v>USD</v>
      </c>
      <c r="H179" s="19"/>
      <c r="I179" s="3" cm="1">
        <f t="array" ref="I179:I184">TRANSPOSE(N176:S176)/$I$174</f>
        <v>300000</v>
      </c>
      <c r="J179" s="19"/>
      <c r="K179" s="3"/>
      <c r="L179" s="3"/>
      <c r="M179" s="177"/>
      <c r="N179" s="3">
        <f t="shared" ref="N179:S179" si="130">IF(N$172=$C179,0,IF(AND(N$172&gt;$C179,N$172&lt;=$I$174),$I179,0))</f>
        <v>0</v>
      </c>
      <c r="O179" s="3">
        <f t="shared" si="130"/>
        <v>300000</v>
      </c>
      <c r="P179" s="3">
        <f t="shared" si="130"/>
        <v>300000</v>
      </c>
      <c r="Q179" s="3">
        <f t="shared" si="130"/>
        <v>300000</v>
      </c>
      <c r="R179" s="3">
        <f t="shared" si="130"/>
        <v>300000</v>
      </c>
      <c r="S179" s="3">
        <f t="shared" si="130"/>
        <v>300000</v>
      </c>
      <c r="T179" s="3"/>
      <c r="U179" s="753">
        <f t="shared" ref="U179:U184" si="131">SUM(N179:T179)</f>
        <v>1500000</v>
      </c>
      <c r="V179" s="177"/>
    </row>
    <row r="180" spans="1:24" s="18" customFormat="1" ht="15" hidden="1" customHeight="1" outlineLevel="1" x14ac:dyDescent="0.35">
      <c r="B180" s="160"/>
      <c r="C180" s="294">
        <v>1</v>
      </c>
      <c r="D180" s="445"/>
      <c r="E180" s="445"/>
      <c r="F180" s="19"/>
      <c r="G180" s="313" t="str">
        <f>Assumptions!$G$14</f>
        <v>USD</v>
      </c>
      <c r="H180" s="19"/>
      <c r="I180" s="3">
        <v>0</v>
      </c>
      <c r="J180" s="19"/>
      <c r="K180" s="3"/>
      <c r="L180" s="3"/>
      <c r="M180" s="177"/>
      <c r="N180" s="3"/>
      <c r="O180" s="3">
        <f>IF(O$172=$C180,0,IF(AND(O$172&gt;$C180,O$172&lt;=$I$174),$I180,0))</f>
        <v>0</v>
      </c>
      <c r="P180" s="3">
        <f>IF(P$172=$C180,0,IF(AND(P$172&gt;$C180,P$172&lt;=$I$174),$I180,0))</f>
        <v>0</v>
      </c>
      <c r="Q180" s="3">
        <f>IF(Q$172=$C180,0,IF(AND(Q$172&gt;$C180,Q$172&lt;=$I$174),$I180,0))</f>
        <v>0</v>
      </c>
      <c r="R180" s="3">
        <f>IF(R$172=$C180,0,IF(AND(R$172&gt;$C180,R$172&lt;=$I$174),$I180,0))</f>
        <v>0</v>
      </c>
      <c r="S180" s="3">
        <f>IF(S$172=$C180,0,IF(AND(S$172&gt;$C180,S$172&lt;=$I$174),$I180,0))</f>
        <v>0</v>
      </c>
      <c r="T180" s="3"/>
      <c r="U180" s="753">
        <f t="shared" si="131"/>
        <v>0</v>
      </c>
      <c r="V180" s="184"/>
      <c r="X180" s="141"/>
    </row>
    <row r="181" spans="1:24" s="18" customFormat="1" ht="15" hidden="1" customHeight="1" outlineLevel="1" x14ac:dyDescent="0.35">
      <c r="B181" s="160"/>
      <c r="C181" s="294">
        <v>2</v>
      </c>
      <c r="D181" s="445"/>
      <c r="E181" s="445"/>
      <c r="F181" s="19"/>
      <c r="G181" s="313" t="str">
        <f>Assumptions!$G$14</f>
        <v>USD</v>
      </c>
      <c r="H181" s="19"/>
      <c r="I181" s="3">
        <v>0</v>
      </c>
      <c r="J181" s="19"/>
      <c r="K181" s="3"/>
      <c r="L181" s="3"/>
      <c r="M181" s="177"/>
      <c r="N181" s="3"/>
      <c r="O181" s="3"/>
      <c r="P181" s="3">
        <f>IF(P$172=$C181,0,IF(AND(P$172&gt;$C181,P$172&lt;=$I$174),$I181,0))</f>
        <v>0</v>
      </c>
      <c r="Q181" s="3">
        <f>IF(Q$172=$C181,0,IF(AND(Q$172&gt;$C181,Q$172&lt;=$I$174),$I181,0))</f>
        <v>0</v>
      </c>
      <c r="R181" s="3">
        <f>IF(R$172=$C181,0,IF(AND(R$172&gt;$C181,R$172&lt;=$I$174),$I181,0))</f>
        <v>0</v>
      </c>
      <c r="S181" s="3">
        <f>IF(S$172=$C181,0,IF(AND(S$172&gt;$C181,S$172&lt;=$I$174),$I181,0))</f>
        <v>0</v>
      </c>
      <c r="T181" s="3"/>
      <c r="U181" s="753">
        <f t="shared" si="131"/>
        <v>0</v>
      </c>
      <c r="V181" s="184"/>
      <c r="X181" s="141"/>
    </row>
    <row r="182" spans="1:24" s="18" customFormat="1" ht="15" hidden="1" customHeight="1" outlineLevel="1" x14ac:dyDescent="0.35">
      <c r="B182" s="160"/>
      <c r="C182" s="294">
        <v>3</v>
      </c>
      <c r="D182" s="445"/>
      <c r="E182" s="445"/>
      <c r="F182" s="19"/>
      <c r="G182" s="313" t="str">
        <f>Assumptions!$G$14</f>
        <v>USD</v>
      </c>
      <c r="H182" s="19"/>
      <c r="I182" s="3">
        <v>0</v>
      </c>
      <c r="J182" s="19"/>
      <c r="K182" s="3"/>
      <c r="L182" s="3"/>
      <c r="M182" s="177"/>
      <c r="N182" s="3"/>
      <c r="O182" s="3"/>
      <c r="P182" s="3"/>
      <c r="Q182" s="3">
        <f>IF(Q$172=$C182,0,IF(AND(Q$172&gt;$C182,Q$172&lt;=$I$174),$I182,0))</f>
        <v>0</v>
      </c>
      <c r="R182" s="3">
        <f>IF(R$172=$C182,0,IF(AND(R$172&gt;$C182,R$172&lt;=$I$174),$I182,0))</f>
        <v>0</v>
      </c>
      <c r="S182" s="3">
        <f>IF(S$172=$C182,0,IF(AND(S$172&gt;$C182,S$172&lt;=$I$174),$I182,0))</f>
        <v>0</v>
      </c>
      <c r="T182" s="3"/>
      <c r="U182" s="753">
        <f t="shared" si="131"/>
        <v>0</v>
      </c>
      <c r="V182" s="184"/>
      <c r="X182" s="141"/>
    </row>
    <row r="183" spans="1:24" s="18" customFormat="1" ht="15" hidden="1" customHeight="1" outlineLevel="1" x14ac:dyDescent="0.35">
      <c r="B183" s="160"/>
      <c r="C183" s="294">
        <v>4</v>
      </c>
      <c r="D183" s="445"/>
      <c r="E183" s="445"/>
      <c r="F183" s="19"/>
      <c r="G183" s="313" t="str">
        <f>Assumptions!$G$14</f>
        <v>USD</v>
      </c>
      <c r="H183" s="19"/>
      <c r="I183" s="3">
        <v>50000</v>
      </c>
      <c r="J183" s="19"/>
      <c r="K183" s="3"/>
      <c r="L183" s="3"/>
      <c r="M183" s="177"/>
      <c r="N183" s="3"/>
      <c r="O183" s="3"/>
      <c r="P183" s="3"/>
      <c r="Q183" s="3"/>
      <c r="R183" s="3">
        <f>IF(R$172=$C183,0,IF(AND(R$172&gt;$C183,R$172&lt;=$I$174),$I183,0))</f>
        <v>0</v>
      </c>
      <c r="S183" s="3">
        <f>IF(S$172=$C183,0,IF(AND(S$172&gt;$C183,S$172&lt;=$I$174),$I183,0))</f>
        <v>50000</v>
      </c>
      <c r="T183" s="3"/>
      <c r="U183" s="753">
        <f t="shared" si="131"/>
        <v>50000</v>
      </c>
      <c r="V183" s="184"/>
      <c r="X183" s="141"/>
    </row>
    <row r="184" spans="1:24" s="18" customFormat="1" ht="15" hidden="1" customHeight="1" outlineLevel="1" x14ac:dyDescent="0.35">
      <c r="B184" s="160"/>
      <c r="C184" s="798">
        <v>5</v>
      </c>
      <c r="D184" s="799"/>
      <c r="E184" s="799"/>
      <c r="F184" s="86"/>
      <c r="G184" s="427" t="str">
        <f>Assumptions!$G$14</f>
        <v>USD</v>
      </c>
      <c r="H184" s="86"/>
      <c r="I184" s="662">
        <v>0</v>
      </c>
      <c r="J184" s="86"/>
      <c r="K184" s="662"/>
      <c r="L184" s="662"/>
      <c r="M184" s="773"/>
      <c r="N184" s="662"/>
      <c r="O184" s="662"/>
      <c r="P184" s="662"/>
      <c r="Q184" s="662"/>
      <c r="R184" s="662"/>
      <c r="S184" s="662">
        <f>IF(S$172=$C184,0,IF(AND(S$172&gt;$C184,S$172&lt;=$I$174),$I184,0))</f>
        <v>0</v>
      </c>
      <c r="T184" s="662"/>
      <c r="U184" s="774">
        <f t="shared" si="131"/>
        <v>0</v>
      </c>
      <c r="V184" s="184"/>
      <c r="X184" s="141"/>
    </row>
    <row r="185" spans="1:24" s="18" customFormat="1" ht="15" customHeight="1" collapsed="1" x14ac:dyDescent="0.35">
      <c r="B185" s="160"/>
      <c r="C185" s="50" t="s">
        <v>26</v>
      </c>
      <c r="D185" s="50"/>
      <c r="E185" s="50"/>
      <c r="F185" s="19"/>
      <c r="G185" s="313" t="str">
        <f>Assumptions!$G$14</f>
        <v>USD</v>
      </c>
      <c r="H185" s="19"/>
      <c r="I185" s="19"/>
      <c r="J185" s="19"/>
      <c r="K185" s="3"/>
      <c r="L185" s="3"/>
      <c r="M185" s="177"/>
      <c r="N185" s="3">
        <f t="shared" ref="N185:S185" si="132">SUM(N179:N184)</f>
        <v>0</v>
      </c>
      <c r="O185" s="3">
        <f t="shared" si="132"/>
        <v>300000</v>
      </c>
      <c r="P185" s="3">
        <f t="shared" si="132"/>
        <v>300000</v>
      </c>
      <c r="Q185" s="3">
        <f t="shared" si="132"/>
        <v>300000</v>
      </c>
      <c r="R185" s="3">
        <f t="shared" si="132"/>
        <v>300000</v>
      </c>
      <c r="S185" s="3">
        <f t="shared" si="132"/>
        <v>350000</v>
      </c>
      <c r="T185" s="3"/>
      <c r="U185" s="748">
        <f>SUM(U179:U184)</f>
        <v>1550000</v>
      </c>
      <c r="V185" s="184"/>
      <c r="X185" s="141"/>
    </row>
    <row r="186" spans="1:24" s="18" customFormat="1" ht="15" customHeight="1" x14ac:dyDescent="0.35">
      <c r="B186" s="160"/>
      <c r="C186" s="130"/>
      <c r="D186" s="130"/>
      <c r="E186" s="130"/>
      <c r="F186" s="66"/>
      <c r="G186" s="442"/>
      <c r="H186" s="66"/>
      <c r="I186" s="66"/>
      <c r="J186" s="66"/>
      <c r="K186" s="722"/>
      <c r="L186" s="722"/>
      <c r="M186" s="740"/>
      <c r="N186" s="722"/>
      <c r="O186" s="722"/>
      <c r="P186" s="722"/>
      <c r="Q186" s="722"/>
      <c r="R186" s="722"/>
      <c r="S186" s="722"/>
      <c r="T186" s="722"/>
      <c r="U186" s="747"/>
      <c r="V186" s="6"/>
      <c r="X186" s="141"/>
    </row>
    <row r="187" spans="1:24" s="18" customFormat="1" ht="15" customHeight="1" x14ac:dyDescent="0.35">
      <c r="B187" s="160"/>
      <c r="C187" s="50" t="str">
        <f>"Gross "&amp;C189</f>
        <v>Gross Fixed Assets</v>
      </c>
      <c r="D187" s="50"/>
      <c r="E187" s="50"/>
      <c r="F187" s="19"/>
      <c r="G187" s="313" t="str">
        <f>Assumptions!$G$14</f>
        <v>USD</v>
      </c>
      <c r="H187" s="19"/>
      <c r="I187" s="19"/>
      <c r="J187" s="19"/>
      <c r="K187" s="3"/>
      <c r="L187" s="3"/>
      <c r="M187" s="177"/>
      <c r="N187" s="3">
        <f t="shared" ref="N187:S187" si="133">N176+M187</f>
        <v>1500000</v>
      </c>
      <c r="O187" s="3">
        <f t="shared" si="133"/>
        <v>1500000</v>
      </c>
      <c r="P187" s="3">
        <f t="shared" si="133"/>
        <v>1500000</v>
      </c>
      <c r="Q187" s="3">
        <f t="shared" si="133"/>
        <v>1500000</v>
      </c>
      <c r="R187" s="3">
        <f t="shared" si="133"/>
        <v>1750000</v>
      </c>
      <c r="S187" s="3">
        <f t="shared" si="133"/>
        <v>1750000</v>
      </c>
      <c r="T187" s="3"/>
      <c r="U187" s="748">
        <f>S187</f>
        <v>1750000</v>
      </c>
      <c r="V187" s="184"/>
      <c r="X187" s="141"/>
    </row>
    <row r="188" spans="1:24" s="18" customFormat="1" ht="15" customHeight="1" x14ac:dyDescent="0.35">
      <c r="B188" s="160"/>
      <c r="C188" s="50" t="str">
        <f>"Accumulated "&amp;C185</f>
        <v>Accumulated Depreciation</v>
      </c>
      <c r="D188" s="50"/>
      <c r="E188" s="50"/>
      <c r="F188" s="19"/>
      <c r="G188" s="313" t="str">
        <f>Assumptions!$G$14</f>
        <v>USD</v>
      </c>
      <c r="H188" s="19"/>
      <c r="I188" s="19"/>
      <c r="J188" s="19"/>
      <c r="K188" s="3"/>
      <c r="L188" s="3"/>
      <c r="M188" s="177"/>
      <c r="N188" s="3">
        <f>N185+M188</f>
        <v>0</v>
      </c>
      <c r="O188" s="3">
        <f t="shared" ref="O188:S188" si="134">O185+N188</f>
        <v>300000</v>
      </c>
      <c r="P188" s="3">
        <f t="shared" si="134"/>
        <v>600000</v>
      </c>
      <c r="Q188" s="3">
        <f t="shared" si="134"/>
        <v>900000</v>
      </c>
      <c r="R188" s="3">
        <f t="shared" si="134"/>
        <v>1200000</v>
      </c>
      <c r="S188" s="3">
        <f t="shared" si="134"/>
        <v>1550000</v>
      </c>
      <c r="T188" s="3"/>
      <c r="U188" s="748">
        <f>S188</f>
        <v>1550000</v>
      </c>
      <c r="V188" s="184"/>
      <c r="X188" s="141">
        <f>U188-U185</f>
        <v>0</v>
      </c>
    </row>
    <row r="189" spans="1:24" s="13" customFormat="1" ht="15" customHeight="1" x14ac:dyDescent="0.35">
      <c r="B189" s="185"/>
      <c r="C189" s="768" t="str">
        <f>C48</f>
        <v>Fixed Assets</v>
      </c>
      <c r="D189" s="448"/>
      <c r="E189" s="448"/>
      <c r="F189" s="429"/>
      <c r="G189" s="430" t="str">
        <f>Assumptions!$G$14</f>
        <v>USD</v>
      </c>
      <c r="H189" s="429"/>
      <c r="I189" s="429"/>
      <c r="J189" s="429"/>
      <c r="K189" s="5"/>
      <c r="L189" s="5"/>
      <c r="M189" s="743"/>
      <c r="N189" s="5">
        <f>N187-N188</f>
        <v>1500000</v>
      </c>
      <c r="O189" s="5">
        <f t="shared" ref="O189:U189" si="135">O187-O188</f>
        <v>1200000</v>
      </c>
      <c r="P189" s="5">
        <f t="shared" si="135"/>
        <v>900000</v>
      </c>
      <c r="Q189" s="5">
        <f t="shared" si="135"/>
        <v>600000</v>
      </c>
      <c r="R189" s="5">
        <f t="shared" si="135"/>
        <v>550000</v>
      </c>
      <c r="S189" s="5">
        <f t="shared" si="135"/>
        <v>200000</v>
      </c>
      <c r="T189" s="5"/>
      <c r="U189" s="749">
        <f t="shared" si="135"/>
        <v>200000</v>
      </c>
      <c r="V189" s="6"/>
      <c r="X189" s="141">
        <f>U176-U188-U189</f>
        <v>0</v>
      </c>
    </row>
    <row r="190" spans="1:24" s="18" customFormat="1" ht="15" customHeight="1" x14ac:dyDescent="0.35">
      <c r="B190" s="190"/>
      <c r="C190" s="36"/>
      <c r="D190" s="36"/>
      <c r="E190" s="36"/>
      <c r="F190" s="36"/>
      <c r="G190" s="36"/>
      <c r="H190" s="36"/>
      <c r="I190" s="429"/>
      <c r="J190" s="36"/>
      <c r="K190" s="439"/>
      <c r="L190" s="439"/>
      <c r="M190" s="440"/>
      <c r="N190" s="439"/>
      <c r="O190" s="439"/>
      <c r="P190" s="439"/>
      <c r="Q190" s="439"/>
      <c r="R190" s="439"/>
      <c r="S190" s="439"/>
      <c r="T190" s="439"/>
      <c r="U190" s="750"/>
      <c r="V190" s="440"/>
      <c r="X190" s="141"/>
    </row>
    <row r="191" spans="1:24" s="18" customFormat="1" ht="15" customHeight="1" x14ac:dyDescent="0.35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X191" s="223"/>
    </row>
    <row r="192" spans="1:24" s="18" customFormat="1" ht="15" customHeight="1" x14ac:dyDescent="0.35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X192" s="223"/>
    </row>
    <row r="193" spans="1:24" s="18" customFormat="1" ht="15" customHeight="1" x14ac:dyDescent="0.35">
      <c r="C193" s="136" t="s">
        <v>206</v>
      </c>
      <c r="D193" s="136"/>
      <c r="E193" s="136"/>
      <c r="F193" s="9"/>
      <c r="G193" s="9"/>
      <c r="H193" s="9"/>
      <c r="I193" s="9"/>
      <c r="J193" s="9"/>
      <c r="K193" s="460"/>
      <c r="L193" s="460"/>
      <c r="M193" s="460"/>
      <c r="N193" s="460"/>
      <c r="O193" s="460"/>
      <c r="P193" s="460"/>
      <c r="Q193" s="460"/>
      <c r="R193" s="460"/>
      <c r="S193" s="460"/>
      <c r="T193" s="460"/>
      <c r="U193" s="460"/>
      <c r="V193" s="460"/>
      <c r="X193" s="223"/>
    </row>
    <row r="194" spans="1:24" ht="15" customHeight="1" x14ac:dyDescent="0.35">
      <c r="A194" s="137"/>
      <c r="B194" s="137"/>
      <c r="C194" s="303" t="str">
        <f>"All amounts in "&amp;Assumptions!$G$14</f>
        <v>All amounts in USD</v>
      </c>
      <c r="D194" s="303"/>
      <c r="E194" s="303"/>
      <c r="F194" s="303"/>
      <c r="G194" s="303"/>
      <c r="H194" s="303"/>
      <c r="I194" s="303"/>
      <c r="J194" s="303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4" s="13" customFormat="1" ht="15" customHeight="1" x14ac:dyDescent="0.35">
      <c r="A195" s="719">
        <f>MAX(A$1:A194)+1</f>
        <v>6</v>
      </c>
      <c r="B195" s="196"/>
      <c r="C195" s="143" t="str">
        <f>C193</f>
        <v>Chart Data</v>
      </c>
      <c r="D195" s="143"/>
      <c r="E195" s="143"/>
      <c r="F195" s="143"/>
      <c r="G195" s="143" t="s">
        <v>45</v>
      </c>
      <c r="H195" s="143"/>
      <c r="I195" s="143"/>
      <c r="J195" s="143"/>
      <c r="K195" s="694">
        <f t="shared" ref="K195:S195" ca="1" si="136">K$7</f>
        <v>2024</v>
      </c>
      <c r="L195" s="694">
        <f t="shared" ca="1" si="136"/>
        <v>2025</v>
      </c>
      <c r="M195" s="695">
        <f t="shared" ca="1" si="136"/>
        <v>2026</v>
      </c>
      <c r="N195" s="871">
        <f t="shared" ca="1" si="136"/>
        <v>2026</v>
      </c>
      <c r="O195" s="871">
        <f t="shared" ca="1" si="136"/>
        <v>2027</v>
      </c>
      <c r="P195" s="871">
        <f t="shared" ca="1" si="136"/>
        <v>2028</v>
      </c>
      <c r="Q195" s="871">
        <f t="shared" ca="1" si="136"/>
        <v>2029</v>
      </c>
      <c r="R195" s="871">
        <f t="shared" ca="1" si="136"/>
        <v>2030</v>
      </c>
      <c r="S195" s="871">
        <f t="shared" ca="1" si="136"/>
        <v>2031</v>
      </c>
      <c r="T195" s="703"/>
      <c r="U195" s="849"/>
      <c r="V195" s="197"/>
      <c r="X195" s="223"/>
    </row>
    <row r="196" spans="1:24" s="9" customFormat="1" ht="15" customHeight="1" x14ac:dyDescent="0.35">
      <c r="A196" s="137"/>
      <c r="B196" s="147"/>
      <c r="C196" s="148" t="str">
        <f>C$8</f>
        <v>Forecast Year</v>
      </c>
      <c r="D196" s="148"/>
      <c r="E196" s="148"/>
      <c r="F196" s="149"/>
      <c r="G196" s="149"/>
      <c r="H196" s="149"/>
      <c r="I196" s="150"/>
      <c r="J196" s="149"/>
      <c r="K196" s="150">
        <f t="shared" ref="K196:S196" si="137">K$8</f>
        <v>-2</v>
      </c>
      <c r="L196" s="150">
        <f t="shared" si="137"/>
        <v>-1</v>
      </c>
      <c r="M196" s="152">
        <f t="shared" si="137"/>
        <v>0</v>
      </c>
      <c r="N196" s="150">
        <f t="shared" si="137"/>
        <v>0</v>
      </c>
      <c r="O196" s="150">
        <f t="shared" si="137"/>
        <v>1</v>
      </c>
      <c r="P196" s="150">
        <f t="shared" si="137"/>
        <v>2</v>
      </c>
      <c r="Q196" s="150">
        <f t="shared" si="137"/>
        <v>3</v>
      </c>
      <c r="R196" s="150">
        <f t="shared" si="137"/>
        <v>4</v>
      </c>
      <c r="S196" s="150">
        <f t="shared" si="137"/>
        <v>5</v>
      </c>
      <c r="T196" s="150"/>
      <c r="U196" s="150"/>
      <c r="V196" s="152"/>
      <c r="X196" s="141"/>
    </row>
    <row r="197" spans="1:24" ht="15" customHeight="1" x14ac:dyDescent="0.35">
      <c r="A197" s="137"/>
      <c r="B197" s="153"/>
      <c r="C197" s="19"/>
      <c r="D197" s="19"/>
      <c r="E197" s="19"/>
      <c r="F197" s="19"/>
      <c r="G197" s="19"/>
      <c r="H197" s="19"/>
      <c r="I197" s="19"/>
      <c r="J197" s="19"/>
      <c r="K197" s="462"/>
      <c r="L197" s="462"/>
      <c r="M197" s="787"/>
      <c r="N197" s="462"/>
      <c r="O197" s="462"/>
      <c r="P197" s="462"/>
      <c r="Q197" s="462"/>
      <c r="R197" s="462"/>
      <c r="S197" s="462"/>
      <c r="T197" s="462"/>
      <c r="U197" s="462"/>
      <c r="V197" s="168"/>
      <c r="W197" s="141"/>
      <c r="X197" s="772"/>
    </row>
    <row r="198" spans="1:24" ht="15" customHeight="1" x14ac:dyDescent="0.35">
      <c r="A198" s="137"/>
      <c r="B198" s="153"/>
      <c r="C198" s="66" t="s">
        <v>246</v>
      </c>
      <c r="D198" s="19"/>
      <c r="E198" s="19"/>
      <c r="F198" s="19"/>
      <c r="G198" s="19"/>
      <c r="H198" s="19"/>
      <c r="I198" s="19"/>
      <c r="J198" s="19"/>
      <c r="K198" s="462"/>
      <c r="L198" s="462"/>
      <c r="M198" s="787"/>
      <c r="N198" s="462"/>
      <c r="O198" s="462"/>
      <c r="P198" s="462"/>
      <c r="Q198" s="462"/>
      <c r="R198" s="462"/>
      <c r="S198" s="462"/>
      <c r="T198" s="462"/>
      <c r="U198" s="462"/>
      <c r="V198" s="168"/>
      <c r="W198" s="141"/>
      <c r="X198" s="772"/>
    </row>
    <row r="199" spans="1:24" ht="15" customHeight="1" x14ac:dyDescent="0.35">
      <c r="A199" s="137"/>
      <c r="B199" s="153"/>
      <c r="C199" s="19" t="str">
        <f>C10</f>
        <v>Revenue</v>
      </c>
      <c r="D199" s="19"/>
      <c r="E199" s="474" t="b">
        <v>1</v>
      </c>
      <c r="F199" s="19"/>
      <c r="G199" s="126" t="str">
        <f>Assumptions!$G$14</f>
        <v>USD</v>
      </c>
      <c r="H199" s="19"/>
      <c r="I199" s="19"/>
      <c r="J199" s="19"/>
      <c r="K199" s="19"/>
      <c r="L199" s="19"/>
      <c r="M199" s="31"/>
      <c r="N199" s="475">
        <f t="shared" ref="N199:S199" si="138">IF($E199,N10,NA())</f>
        <v>5263000</v>
      </c>
      <c r="O199" s="475">
        <f t="shared" si="138"/>
        <v>5657725</v>
      </c>
      <c r="P199" s="475">
        <f t="shared" si="138"/>
        <v>6082054.375</v>
      </c>
      <c r="Q199" s="475">
        <f t="shared" si="138"/>
        <v>6386157.09375</v>
      </c>
      <c r="R199" s="475">
        <f t="shared" si="138"/>
        <v>6705464.9484375007</v>
      </c>
      <c r="S199" s="475">
        <f t="shared" si="138"/>
        <v>7040738.1958593763</v>
      </c>
      <c r="T199" s="475"/>
      <c r="U199" s="761"/>
      <c r="V199" s="168"/>
      <c r="W199" s="141"/>
      <c r="X199" s="772"/>
    </row>
    <row r="200" spans="1:24" ht="15" customHeight="1" x14ac:dyDescent="0.35">
      <c r="A200" s="137"/>
      <c r="B200" s="153"/>
      <c r="C200" s="19" t="str">
        <f>C18</f>
        <v>EBITDA</v>
      </c>
      <c r="D200" s="19"/>
      <c r="E200" s="474" t="b">
        <v>1</v>
      </c>
      <c r="F200" s="19"/>
      <c r="G200" s="126" t="str">
        <f>Assumptions!$G$14</f>
        <v>USD</v>
      </c>
      <c r="H200" s="19"/>
      <c r="I200" s="19"/>
      <c r="J200" s="19"/>
      <c r="K200" s="19"/>
      <c r="L200" s="19"/>
      <c r="M200" s="31"/>
      <c r="N200" s="475">
        <f t="shared" ref="N200:S201" si="139">IF($E200,N18,NA())</f>
        <v>1281500</v>
      </c>
      <c r="O200" s="475">
        <f t="shared" si="139"/>
        <v>1100684.6818181814</v>
      </c>
      <c r="P200" s="475">
        <f t="shared" si="139"/>
        <v>1183236.032954545</v>
      </c>
      <c r="Q200" s="475">
        <f t="shared" si="139"/>
        <v>1261473.3687784085</v>
      </c>
      <c r="R200" s="475">
        <f t="shared" si="139"/>
        <v>1260055.1442809654</v>
      </c>
      <c r="S200" s="475">
        <f t="shared" si="139"/>
        <v>1235187.6973692181</v>
      </c>
      <c r="T200" s="475"/>
      <c r="U200" s="761"/>
      <c r="V200" s="168"/>
      <c r="W200" s="141"/>
      <c r="X200" s="772"/>
    </row>
    <row r="201" spans="1:24" ht="15" customHeight="1" x14ac:dyDescent="0.35">
      <c r="A201" s="137"/>
      <c r="B201" s="153"/>
      <c r="C201" s="19" t="str">
        <f>C19</f>
        <v>EBITDA Margin %</v>
      </c>
      <c r="D201" s="19"/>
      <c r="E201" s="474" t="b">
        <v>1</v>
      </c>
      <c r="F201" s="19"/>
      <c r="G201" s="19" t="str">
        <f>G19</f>
        <v>% of Revenue</v>
      </c>
      <c r="H201" s="19"/>
      <c r="I201" s="19"/>
      <c r="J201" s="19"/>
      <c r="K201" s="19"/>
      <c r="L201" s="19"/>
      <c r="M201" s="31"/>
      <c r="N201" s="476">
        <f t="shared" si="139"/>
        <v>0.24349230476914308</v>
      </c>
      <c r="O201" s="476">
        <f t="shared" si="139"/>
        <v>0.19454545454545447</v>
      </c>
      <c r="P201" s="476">
        <f t="shared" si="139"/>
        <v>0.19454545454545447</v>
      </c>
      <c r="Q201" s="476">
        <f t="shared" si="139"/>
        <v>0.19753246753246745</v>
      </c>
      <c r="R201" s="476">
        <f t="shared" si="139"/>
        <v>0.18791465677179953</v>
      </c>
      <c r="S201" s="476">
        <f t="shared" si="139"/>
        <v>0.17543440233236138</v>
      </c>
      <c r="T201" s="476"/>
      <c r="U201" s="762"/>
      <c r="V201" s="168"/>
      <c r="W201" s="141"/>
      <c r="X201" s="772"/>
    </row>
    <row r="202" spans="1:24" ht="15" customHeight="1" x14ac:dyDescent="0.35">
      <c r="A202" s="137"/>
      <c r="B202" s="153"/>
      <c r="C202" s="19" t="str">
        <f>C31</f>
        <v>Net Income/Loss</v>
      </c>
      <c r="D202" s="19"/>
      <c r="E202" s="474" t="b">
        <v>1</v>
      </c>
      <c r="F202" s="19"/>
      <c r="G202" s="126" t="str">
        <f>Assumptions!$G$14</f>
        <v>USD</v>
      </c>
      <c r="H202" s="19"/>
      <c r="I202" s="19"/>
      <c r="J202" s="19"/>
      <c r="K202" s="19"/>
      <c r="L202" s="19"/>
      <c r="M202" s="31"/>
      <c r="N202" s="475">
        <f t="shared" ref="N202:S202" si="140">IF($E202,N31,NA())</f>
        <v>923625</v>
      </c>
      <c r="O202" s="475">
        <f t="shared" si="140"/>
        <v>565826.011363636</v>
      </c>
      <c r="P202" s="475">
        <f t="shared" si="140"/>
        <v>633364.5247159088</v>
      </c>
      <c r="Q202" s="475">
        <f t="shared" si="140"/>
        <v>697667.52658380638</v>
      </c>
      <c r="R202" s="475">
        <f t="shared" si="140"/>
        <v>702228.85821072408</v>
      </c>
      <c r="S202" s="475">
        <f t="shared" si="140"/>
        <v>651703.27302691364</v>
      </c>
      <c r="T202" s="475"/>
      <c r="U202" s="761"/>
      <c r="V202" s="168"/>
      <c r="W202" s="141"/>
      <c r="X202" s="772"/>
    </row>
    <row r="203" spans="1:24" ht="15" customHeight="1" x14ac:dyDescent="0.35">
      <c r="A203" s="137"/>
      <c r="B203" s="153"/>
      <c r="C203" s="19" t="str">
        <f>C134</f>
        <v>ROIC</v>
      </c>
      <c r="D203" s="19"/>
      <c r="E203" s="474" t="b">
        <v>1</v>
      </c>
      <c r="F203" s="19"/>
      <c r="G203" s="19" t="str">
        <f>G134</f>
        <v>%</v>
      </c>
      <c r="H203" s="19"/>
      <c r="I203" s="19"/>
      <c r="J203" s="19"/>
      <c r="K203" s="19"/>
      <c r="L203" s="19"/>
      <c r="M203" s="31"/>
      <c r="N203" s="476">
        <f t="shared" ref="N203:S203" ca="1" si="141">IF($E203,N134,NA())</f>
        <v>0</v>
      </c>
      <c r="O203" s="476">
        <f t="shared" ca="1" si="141"/>
        <v>0.28761379679436305</v>
      </c>
      <c r="P203" s="476">
        <f t="shared" ca="1" si="141"/>
        <v>0.44169988538212279</v>
      </c>
      <c r="Q203" s="476">
        <f t="shared" ca="1" si="141"/>
        <v>0.58709386911585382</v>
      </c>
      <c r="R203" s="476">
        <f t="shared" ca="1" si="141"/>
        <v>0.66768040201824275</v>
      </c>
      <c r="S203" s="476">
        <f t="shared" ca="1" si="141"/>
        <v>0.73472299654983764</v>
      </c>
      <c r="T203" s="476"/>
      <c r="U203" s="762"/>
      <c r="V203" s="168"/>
      <c r="W203" s="141"/>
      <c r="X203" s="772"/>
    </row>
    <row r="204" spans="1:24" ht="15" customHeight="1" x14ac:dyDescent="0.35">
      <c r="A204" s="137"/>
      <c r="B204" s="153"/>
      <c r="C204" s="19"/>
      <c r="D204" s="19"/>
      <c r="E204" s="646"/>
      <c r="F204" s="19"/>
      <c r="G204" s="19"/>
      <c r="H204" s="19"/>
      <c r="I204" s="19"/>
      <c r="J204" s="19"/>
      <c r="K204" s="462"/>
      <c r="L204" s="462"/>
      <c r="M204" s="787"/>
      <c r="N204" s="460"/>
      <c r="O204" s="460"/>
      <c r="P204" s="460"/>
      <c r="Q204" s="460"/>
      <c r="R204" s="460"/>
      <c r="S204" s="460"/>
      <c r="T204" s="460"/>
      <c r="U204" s="462"/>
      <c r="V204" s="168"/>
      <c r="W204" s="141"/>
      <c r="X204" s="772"/>
    </row>
    <row r="205" spans="1:24" ht="15" customHeight="1" x14ac:dyDescent="0.35">
      <c r="A205" s="137"/>
      <c r="B205" s="153"/>
      <c r="C205" s="66" t="s">
        <v>226</v>
      </c>
      <c r="D205" s="19"/>
      <c r="E205" s="646"/>
      <c r="F205" s="19"/>
      <c r="G205" s="19"/>
      <c r="H205" s="19"/>
      <c r="I205" s="19"/>
      <c r="J205" s="19"/>
      <c r="K205" s="180"/>
      <c r="L205" s="180"/>
      <c r="M205" s="846"/>
      <c r="N205" s="475"/>
      <c r="O205" s="475"/>
      <c r="P205" s="475"/>
      <c r="Q205" s="475"/>
      <c r="R205" s="475"/>
      <c r="S205" s="475"/>
      <c r="T205" s="475"/>
      <c r="U205" s="761"/>
      <c r="V205" s="168"/>
      <c r="W205" s="141"/>
      <c r="X205" s="772"/>
    </row>
    <row r="206" spans="1:24" ht="15" customHeight="1" x14ac:dyDescent="0.35">
      <c r="A206" s="137"/>
      <c r="B206" s="153"/>
      <c r="C206" s="19" t="str">
        <f>C154</f>
        <v>Net Working Capital</v>
      </c>
      <c r="D206" s="19"/>
      <c r="E206" s="474" t="b">
        <v>1</v>
      </c>
      <c r="F206" s="19"/>
      <c r="G206" s="19" t="str">
        <f>G154</f>
        <v>USD</v>
      </c>
      <c r="H206" s="19"/>
      <c r="I206" s="19"/>
      <c r="J206" s="19"/>
      <c r="K206" s="180"/>
      <c r="L206" s="180"/>
      <c r="M206" s="846"/>
      <c r="N206" s="475">
        <f t="shared" ref="N206:S207" ca="1" si="142">IF($E206,N154,NA())</f>
        <v>409684.89726027404</v>
      </c>
      <c r="O206" s="475">
        <f t="shared" ca="1" si="142"/>
        <v>434063.76212328766</v>
      </c>
      <c r="P206" s="475">
        <f t="shared" ca="1" si="142"/>
        <v>465380.18902390706</v>
      </c>
      <c r="Q206" s="475">
        <f t="shared" ca="1" si="142"/>
        <v>491143.59539158823</v>
      </c>
      <c r="R206" s="475">
        <f t="shared" ca="1" si="142"/>
        <v>515700.77516116761</v>
      </c>
      <c r="S206" s="475">
        <f t="shared" ca="1" si="142"/>
        <v>541485.81391922617</v>
      </c>
      <c r="T206" s="475"/>
      <c r="U206" s="761"/>
      <c r="V206" s="168"/>
      <c r="W206" s="141"/>
      <c r="X206" s="772"/>
    </row>
    <row r="207" spans="1:24" ht="15" customHeight="1" x14ac:dyDescent="0.35">
      <c r="A207" s="137"/>
      <c r="B207" s="153"/>
      <c r="C207" s="19" t="str">
        <f>C155</f>
        <v>Fixed Assets</v>
      </c>
      <c r="D207" s="19"/>
      <c r="E207" s="474" t="b">
        <v>1</v>
      </c>
      <c r="F207" s="19"/>
      <c r="G207" s="19" t="str">
        <f>G155</f>
        <v>USD</v>
      </c>
      <c r="H207" s="19"/>
      <c r="I207" s="19"/>
      <c r="J207" s="19"/>
      <c r="K207" s="180"/>
      <c r="L207" s="180"/>
      <c r="M207" s="846"/>
      <c r="N207" s="475">
        <f t="shared" si="142"/>
        <v>1500000</v>
      </c>
      <c r="O207" s="475">
        <f t="shared" si="142"/>
        <v>1200000</v>
      </c>
      <c r="P207" s="475">
        <f t="shared" si="142"/>
        <v>900000</v>
      </c>
      <c r="Q207" s="475">
        <f t="shared" si="142"/>
        <v>600000</v>
      </c>
      <c r="R207" s="475">
        <f t="shared" si="142"/>
        <v>550000</v>
      </c>
      <c r="S207" s="475">
        <f t="shared" si="142"/>
        <v>200000</v>
      </c>
      <c r="T207" s="475"/>
      <c r="U207" s="761"/>
      <c r="V207" s="168"/>
      <c r="W207" s="141"/>
      <c r="X207" s="772"/>
    </row>
    <row r="208" spans="1:24" ht="15" customHeight="1" x14ac:dyDescent="0.35">
      <c r="A208" s="137"/>
      <c r="B208" s="153"/>
      <c r="C208" s="19" t="str">
        <f>C41</f>
        <v>Cash</v>
      </c>
      <c r="D208" s="19"/>
      <c r="E208" s="474" t="b">
        <v>1</v>
      </c>
      <c r="F208" s="19"/>
      <c r="G208" s="19" t="str">
        <f>G41</f>
        <v>USD</v>
      </c>
      <c r="H208" s="19"/>
      <c r="I208" s="19"/>
      <c r="J208" s="19"/>
      <c r="K208" s="180"/>
      <c r="L208" s="180"/>
      <c r="M208" s="846"/>
      <c r="N208" s="475">
        <f t="shared" ref="N208:S208" si="143">IF($E208,N41,NA())</f>
        <v>600000</v>
      </c>
      <c r="O208" s="475">
        <f t="shared" ca="1" si="143"/>
        <v>971699.34309153142</v>
      </c>
      <c r="P208" s="475">
        <f t="shared" ca="1" si="143"/>
        <v>1383738.0834920481</v>
      </c>
      <c r="Q208" s="475">
        <f t="shared" ca="1" si="143"/>
        <v>1846341.9457330317</v>
      </c>
      <c r="R208" s="475">
        <f t="shared" ca="1" si="143"/>
        <v>2063344.9667109591</v>
      </c>
      <c r="S208" s="475">
        <f t="shared" ca="1" si="143"/>
        <v>2543752.2190717403</v>
      </c>
      <c r="T208" s="475"/>
      <c r="U208" s="761"/>
      <c r="V208" s="168"/>
      <c r="W208" s="141"/>
      <c r="X208" s="772"/>
    </row>
    <row r="209" spans="1:24" ht="15" customHeight="1" x14ac:dyDescent="0.35">
      <c r="A209" s="137"/>
      <c r="B209" s="153"/>
      <c r="C209" s="19"/>
      <c r="D209" s="19"/>
      <c r="E209" s="646"/>
      <c r="F209" s="19"/>
      <c r="G209" s="19"/>
      <c r="H209" s="19"/>
      <c r="I209" s="19"/>
      <c r="J209" s="19"/>
      <c r="K209" s="180"/>
      <c r="L209" s="180"/>
      <c r="M209" s="846"/>
      <c r="N209" s="475"/>
      <c r="O209" s="475"/>
      <c r="P209" s="475"/>
      <c r="Q209" s="475"/>
      <c r="R209" s="475"/>
      <c r="S209" s="475"/>
      <c r="T209" s="475"/>
      <c r="U209" s="761"/>
      <c r="V209" s="168"/>
      <c r="W209" s="141"/>
      <c r="X209" s="772"/>
    </row>
    <row r="210" spans="1:24" ht="15" customHeight="1" x14ac:dyDescent="0.35">
      <c r="A210" s="137"/>
      <c r="B210" s="153"/>
      <c r="C210" s="66" t="s">
        <v>174</v>
      </c>
      <c r="D210" s="19"/>
      <c r="E210" s="646"/>
      <c r="F210" s="19"/>
      <c r="G210" s="19"/>
      <c r="H210" s="19"/>
      <c r="I210" s="19"/>
      <c r="J210" s="19"/>
      <c r="K210" s="462"/>
      <c r="L210" s="462"/>
      <c r="M210" s="152">
        <f>O196</f>
        <v>1</v>
      </c>
      <c r="N210" s="150">
        <f t="shared" ref="N210:R210" si="144">O196</f>
        <v>1</v>
      </c>
      <c r="O210" s="150">
        <f t="shared" si="144"/>
        <v>2</v>
      </c>
      <c r="P210" s="150">
        <f t="shared" si="144"/>
        <v>3</v>
      </c>
      <c r="Q210" s="150">
        <f t="shared" si="144"/>
        <v>4</v>
      </c>
      <c r="R210" s="150">
        <f t="shared" si="144"/>
        <v>5</v>
      </c>
      <c r="S210" s="150" t="s">
        <v>8</v>
      </c>
      <c r="T210" s="150"/>
      <c r="U210" s="293"/>
      <c r="V210" s="168"/>
      <c r="W210" s="141"/>
      <c r="X210" s="772"/>
    </row>
    <row r="211" spans="1:24" ht="15" customHeight="1" x14ac:dyDescent="0.35">
      <c r="A211" s="137"/>
      <c r="B211" s="153"/>
      <c r="C211" s="19" t="str">
        <f>DCF!C32</f>
        <v>Free Cash Flow to Firm</v>
      </c>
      <c r="D211" s="19"/>
      <c r="E211" s="474" t="b">
        <v>1</v>
      </c>
      <c r="F211" s="19"/>
      <c r="G211" s="19" t="str">
        <f>G83</f>
        <v>USD</v>
      </c>
      <c r="H211" s="19"/>
      <c r="I211" s="19"/>
      <c r="J211" s="19"/>
      <c r="K211" s="462"/>
      <c r="L211" s="462"/>
      <c r="M211" s="847">
        <f ca="1">IF($E211,DCF!N32,NA())</f>
        <v>876134.64650062227</v>
      </c>
      <c r="N211" s="475">
        <f ca="1">IF($E211,DCF!N32,NA())</f>
        <v>876134.64650062227</v>
      </c>
      <c r="O211" s="475">
        <f ca="1">IF($E211,DCF!O32,NA())</f>
        <v>931110.59781528939</v>
      </c>
      <c r="P211" s="475">
        <f ca="1">IF($E211,DCF!P32,NA())</f>
        <v>995341.62021612527</v>
      </c>
      <c r="Q211" s="475">
        <f ca="1">IF($E211,DCF!Q32,NA())</f>
        <v>745484.17844114464</v>
      </c>
      <c r="R211" s="475">
        <f ca="1">IF($E211,DCF!R32,NA())</f>
        <v>988105.73426885519</v>
      </c>
      <c r="S211" s="475">
        <f ca="1">IF($E212,DCF!R33,NA())</f>
        <v>4379465.0854245424</v>
      </c>
      <c r="T211" s="475"/>
      <c r="U211" s="761"/>
      <c r="V211" s="168"/>
      <c r="W211" s="141"/>
      <c r="X211" s="772"/>
    </row>
    <row r="212" spans="1:24" ht="15" customHeight="1" x14ac:dyDescent="0.35">
      <c r="A212" s="137"/>
      <c r="B212" s="153"/>
      <c r="C212" s="19" t="str">
        <f>DCF!C33</f>
        <v>Terminal Value (TV)</v>
      </c>
      <c r="D212" s="19"/>
      <c r="E212" s="474" t="b">
        <v>1</v>
      </c>
      <c r="F212" s="19"/>
      <c r="G212" s="19" t="str">
        <f>G87</f>
        <v>USD</v>
      </c>
      <c r="H212" s="19"/>
      <c r="I212" s="19"/>
      <c r="J212" s="19"/>
      <c r="K212" s="462"/>
      <c r="L212" s="462"/>
      <c r="M212" s="847"/>
      <c r="N212" s="475"/>
      <c r="O212" s="475"/>
      <c r="P212" s="475"/>
      <c r="Q212" s="475"/>
      <c r="R212" s="137"/>
      <c r="S212" s="137"/>
      <c r="T212" s="137"/>
      <c r="U212" s="761"/>
      <c r="V212" s="168"/>
      <c r="W212" s="141"/>
      <c r="X212" s="772"/>
    </row>
    <row r="213" spans="1:24" ht="15" customHeight="1" x14ac:dyDescent="0.35">
      <c r="A213" s="137"/>
      <c r="B213" s="153"/>
      <c r="C213" s="19" t="s">
        <v>13</v>
      </c>
      <c r="D213" s="19"/>
      <c r="E213" s="646"/>
      <c r="F213" s="19"/>
      <c r="G213" s="19" t="s">
        <v>14</v>
      </c>
      <c r="H213" s="19"/>
      <c r="I213" s="19"/>
      <c r="J213" s="19"/>
      <c r="K213" s="180"/>
      <c r="L213" s="180"/>
      <c r="M213" s="848">
        <f>DCF!N37</f>
        <v>0.95384203370898968</v>
      </c>
      <c r="N213" s="477">
        <f>DCF!N37</f>
        <v>0.95384203370898968</v>
      </c>
      <c r="O213" s="477">
        <f>DCF!O37</f>
        <v>0.86781943246581561</v>
      </c>
      <c r="P213" s="477">
        <f>DCF!P37</f>
        <v>0.78955481175099818</v>
      </c>
      <c r="Q213" s="477">
        <f>DCF!Q37</f>
        <v>0.71834851518343978</v>
      </c>
      <c r="R213" s="477">
        <f>DCF!R37</f>
        <v>0.65356398515495484</v>
      </c>
      <c r="S213" s="477">
        <f>R213</f>
        <v>0.65356398515495484</v>
      </c>
      <c r="T213" s="477"/>
      <c r="U213" s="763"/>
      <c r="V213" s="168"/>
      <c r="W213" s="141"/>
      <c r="X213" s="772"/>
    </row>
    <row r="214" spans="1:24" ht="15" customHeight="1" x14ac:dyDescent="0.35">
      <c r="A214" s="137"/>
      <c r="B214" s="153"/>
      <c r="C214" s="18" t="str">
        <f>DCF!C41</f>
        <v>Discounted Cash Flows</v>
      </c>
      <c r="E214" s="474" t="b">
        <v>1</v>
      </c>
      <c r="G214" s="313" t="str">
        <f>Assumptions!$G$14</f>
        <v>USD</v>
      </c>
      <c r="M214" s="847">
        <f ca="1">IF($E214,M211*M$213,NA())</f>
        <v>835694.0530210603</v>
      </c>
      <c r="N214" s="475">
        <f t="shared" ref="N214" ca="1" si="145">IF($E214,N211*N$213,NA())</f>
        <v>835694.0530210603</v>
      </c>
      <c r="O214" s="475">
        <f t="shared" ref="O214:S214" ca="1" si="146">IF($E214,O211*O$213,NA())</f>
        <v>808035.87055897072</v>
      </c>
      <c r="P214" s="475">
        <f t="shared" ca="1" si="146"/>
        <v>785876.76557767636</v>
      </c>
      <c r="Q214" s="475">
        <f t="shared" ca="1" si="146"/>
        <v>535517.45267594268</v>
      </c>
      <c r="R214" s="475">
        <f t="shared" ca="1" si="146"/>
        <v>645790.32144321583</v>
      </c>
      <c r="S214" s="475">
        <f t="shared" ca="1" si="146"/>
        <v>2862260.6540770489</v>
      </c>
      <c r="T214" s="475"/>
      <c r="U214" s="761"/>
      <c r="V214" s="168"/>
      <c r="W214" s="141"/>
      <c r="X214" s="772"/>
    </row>
    <row r="215" spans="1:24" ht="15" customHeight="1" x14ac:dyDescent="0.35">
      <c r="A215" s="137"/>
      <c r="B215" s="153"/>
      <c r="E215" s="646"/>
      <c r="G215" s="313"/>
      <c r="M215" s="847"/>
      <c r="N215" s="475"/>
      <c r="O215" s="475"/>
      <c r="P215" s="475"/>
      <c r="Q215" s="475"/>
      <c r="R215" s="137"/>
      <c r="S215" s="137"/>
      <c r="T215" s="137"/>
      <c r="U215" s="761"/>
      <c r="V215" s="168"/>
      <c r="W215" s="141"/>
      <c r="X215" s="772"/>
    </row>
    <row r="216" spans="1:24" ht="15" customHeight="1" x14ac:dyDescent="0.35">
      <c r="A216" s="137"/>
      <c r="B216" s="153"/>
      <c r="E216" s="383"/>
      <c r="M216" s="167"/>
      <c r="N216" s="13"/>
      <c r="O216" s="13"/>
      <c r="P216" s="13"/>
      <c r="Q216" s="879" t="str">
        <f>"Selected: "&amp;'Terminal Value'!C138</f>
        <v>Selected: Two Stage Value Driver</v>
      </c>
      <c r="R216" s="879"/>
      <c r="S216" s="879"/>
      <c r="T216" s="672"/>
      <c r="U216" s="139"/>
      <c r="V216" s="168"/>
      <c r="W216" s="141"/>
      <c r="X216" s="772"/>
    </row>
    <row r="217" spans="1:24" ht="15" customHeight="1" x14ac:dyDescent="0.35">
      <c r="A217" s="137"/>
      <c r="B217" s="153"/>
      <c r="C217" s="66" t="s">
        <v>150</v>
      </c>
      <c r="E217" s="383"/>
      <c r="M217" s="167"/>
      <c r="N217" s="649">
        <f>'Terminal Value'!G122</f>
        <v>0</v>
      </c>
      <c r="O217" s="649" t="str">
        <f>'Terminal Value'!H122</f>
        <v>TV</v>
      </c>
      <c r="P217" s="649" t="str">
        <f>'Terminal Value'!J122</f>
        <v>PV of TV</v>
      </c>
      <c r="Q217" s="879"/>
      <c r="R217" s="879"/>
      <c r="S217" s="879"/>
      <c r="T217" s="672"/>
      <c r="U217" s="764"/>
      <c r="V217" s="168"/>
      <c r="W217" s="141"/>
      <c r="X217" s="772"/>
    </row>
    <row r="218" spans="1:24" ht="15" customHeight="1" x14ac:dyDescent="0.35">
      <c r="A218" s="137"/>
      <c r="B218" s="153"/>
      <c r="C218" s="19" t="str">
        <f>O217&amp;" "&amp;O218</f>
        <v>TV (Year 5)</v>
      </c>
      <c r="D218" s="137"/>
      <c r="E218" s="474" t="b">
        <v>1</v>
      </c>
      <c r="M218" s="167"/>
      <c r="N218" s="650" t="str">
        <f>"("&amp;'Terminal Value'!G123&amp;")"</f>
        <v>()</v>
      </c>
      <c r="O218" s="650" t="str">
        <f>"("&amp;'Terminal Value'!H123&amp;")"</f>
        <v>(Year 5)</v>
      </c>
      <c r="P218" s="650" t="str">
        <f>"("&amp;'Terminal Value'!J123&amp;")"</f>
        <v>(Year 0)</v>
      </c>
      <c r="Q218" s="651" t="str">
        <f>O218</f>
        <v>(Year 5)</v>
      </c>
      <c r="U218" s="765"/>
      <c r="V218" s="168"/>
      <c r="W218" s="141"/>
      <c r="X218" s="772"/>
    </row>
    <row r="219" spans="1:24" ht="15" customHeight="1" x14ac:dyDescent="0.35">
      <c r="A219" s="137"/>
      <c r="B219" s="153"/>
      <c r="C219" s="19" t="str">
        <f>P217&amp;" "&amp;P218</f>
        <v>PV of TV (Year 0)</v>
      </c>
      <c r="E219" s="474" t="b">
        <v>1</v>
      </c>
      <c r="M219" s="167"/>
      <c r="N219" s="475"/>
      <c r="O219" s="475"/>
      <c r="P219" s="475"/>
      <c r="U219" s="761"/>
      <c r="V219" s="168"/>
      <c r="W219" s="141"/>
      <c r="X219" s="772"/>
    </row>
    <row r="220" spans="1:24" ht="15" customHeight="1" x14ac:dyDescent="0.35">
      <c r="A220" s="137"/>
      <c r="B220" s="153"/>
      <c r="C220" s="66"/>
      <c r="E220" s="383"/>
      <c r="M220" s="167"/>
      <c r="N220" s="475"/>
      <c r="O220" s="475"/>
      <c r="P220" s="475"/>
      <c r="U220" s="761"/>
      <c r="V220" s="168"/>
      <c r="W220" s="141"/>
      <c r="X220" s="772"/>
    </row>
    <row r="221" spans="1:24" ht="15" customHeight="1" x14ac:dyDescent="0.35">
      <c r="A221" s="137"/>
      <c r="B221" s="153"/>
      <c r="C221" s="19" t="str">
        <f ca="1">'Terminal Value'!C126</f>
        <v>Capitalized Earnings</v>
      </c>
      <c r="D221" s="19"/>
      <c r="E221" s="474" t="b">
        <v>1</v>
      </c>
      <c r="F221" s="19"/>
      <c r="G221" s="313" t="str">
        <f>Assumptions!$G$14</f>
        <v>USD</v>
      </c>
      <c r="H221" s="19"/>
      <c r="I221" s="19"/>
      <c r="J221" s="19"/>
      <c r="K221" s="462"/>
      <c r="L221" s="462"/>
      <c r="M221" s="787"/>
      <c r="N221" s="478" t="str">
        <f>IF(AND($E$218,$E221),'Terminal Value'!G126,NA())</f>
        <v>USD</v>
      </c>
      <c r="O221" s="758">
        <f>IF(AND($E$218,$E221),'Terminal Value'!H126,NA())</f>
        <v>6697510.9510911852</v>
      </c>
      <c r="P221" s="758">
        <f>IF(AND($E$219,$E221),'Terminal Value'!J126,NA())</f>
        <v>4377251.9478141069</v>
      </c>
      <c r="Q221" s="759">
        <f ca="1">'Terminal Value'!$H$138</f>
        <v>4379465.0854245424</v>
      </c>
      <c r="R221" s="475"/>
      <c r="S221" s="475"/>
      <c r="T221" s="475"/>
      <c r="U221" s="766"/>
      <c r="V221" s="168"/>
      <c r="W221" s="141"/>
      <c r="X221" s="772"/>
    </row>
    <row r="222" spans="1:24" ht="15" customHeight="1" x14ac:dyDescent="0.35">
      <c r="A222" s="137"/>
      <c r="B222" s="153"/>
      <c r="C222" s="19" t="str">
        <f ca="1">'Terminal Value'!C127</f>
        <v>Gordon Growth</v>
      </c>
      <c r="D222" s="19"/>
      <c r="E222" s="474" t="b">
        <v>1</v>
      </c>
      <c r="F222" s="19"/>
      <c r="G222" s="313" t="str">
        <f>Assumptions!$G$14</f>
        <v>USD</v>
      </c>
      <c r="H222" s="19"/>
      <c r="I222" s="19"/>
      <c r="J222" s="19"/>
      <c r="K222" s="462"/>
      <c r="L222" s="462"/>
      <c r="M222" s="787"/>
      <c r="N222" s="478" t="str">
        <f>IF(AND($E$218,$E222),'Terminal Value'!G127,NA())</f>
        <v>USD</v>
      </c>
      <c r="O222" s="758">
        <f ca="1">IF(AND($E$218,$E222),'Terminal Value'!H127,NA())</f>
        <v>13663519.4283383</v>
      </c>
      <c r="P222" s="758">
        <f ca="1">IF(AND($E$219,$E222),'Terminal Value'!J127,NA())</f>
        <v>8929984.2088269293</v>
      </c>
      <c r="Q222" s="759">
        <f ca="1">'Terminal Value'!$H$138</f>
        <v>4379465.0854245424</v>
      </c>
      <c r="R222" s="475"/>
      <c r="S222" s="475"/>
      <c r="T222" s="475"/>
      <c r="U222" s="766"/>
      <c r="V222" s="168"/>
      <c r="W222" s="141"/>
      <c r="X222" s="772"/>
    </row>
    <row r="223" spans="1:24" ht="15" customHeight="1" x14ac:dyDescent="0.35">
      <c r="A223" s="137"/>
      <c r="B223" s="153"/>
      <c r="C223" s="19" t="str">
        <f ca="1">'Terminal Value'!C128</f>
        <v>H-Model</v>
      </c>
      <c r="D223" s="19"/>
      <c r="E223" s="474" t="b">
        <v>1</v>
      </c>
      <c r="F223" s="19"/>
      <c r="G223" s="313" t="str">
        <f>Assumptions!$G$14</f>
        <v>USD</v>
      </c>
      <c r="H223" s="19"/>
      <c r="I223" s="19"/>
      <c r="J223" s="19"/>
      <c r="K223" s="462"/>
      <c r="L223" s="462"/>
      <c r="M223" s="787"/>
      <c r="N223" s="478" t="str">
        <f>IF(AND($E$218,$E223),'Terminal Value'!G128,NA())</f>
        <v>USD</v>
      </c>
      <c r="O223" s="758">
        <f ca="1">IF(AND($E$218,$E223),'Terminal Value'!H128,NA())</f>
        <v>16867483.058766715</v>
      </c>
      <c r="P223" s="758">
        <f ca="1">IF(AND($E$219,$E223),'Terminal Value'!J128,NA())</f>
        <v>11023979.447421262</v>
      </c>
      <c r="Q223" s="759">
        <f ca="1">'Terminal Value'!$H$138</f>
        <v>4379465.0854245424</v>
      </c>
      <c r="R223" s="475"/>
      <c r="S223" s="475"/>
      <c r="T223" s="475"/>
      <c r="U223" s="766"/>
      <c r="V223" s="168"/>
      <c r="W223" s="141"/>
      <c r="X223" s="772"/>
    </row>
    <row r="224" spans="1:24" ht="15" customHeight="1" x14ac:dyDescent="0.35">
      <c r="A224" s="137"/>
      <c r="B224" s="153"/>
      <c r="C224" s="19" t="str">
        <f ca="1">'Terminal Value'!C129</f>
        <v>EV/Revenue Exit Multiple (2.5x)</v>
      </c>
      <c r="D224" s="19"/>
      <c r="E224" s="474" t="b">
        <v>1</v>
      </c>
      <c r="F224" s="19"/>
      <c r="G224" s="313" t="str">
        <f>Assumptions!$G$14</f>
        <v>USD</v>
      </c>
      <c r="H224" s="19"/>
      <c r="I224" s="19"/>
      <c r="J224" s="19"/>
      <c r="K224" s="462"/>
      <c r="L224" s="462"/>
      <c r="M224" s="787"/>
      <c r="N224" s="478" t="str">
        <f>IF(AND($E$218,$E224),'Terminal Value'!G129,NA())</f>
        <v>USD</v>
      </c>
      <c r="O224" s="758">
        <f>IF(AND($E$218,$E224),'Terminal Value'!H129,NA())</f>
        <v>17601845.489648439</v>
      </c>
      <c r="P224" s="758">
        <f>IF(AND($E$219,$E224),'Terminal Value'!J129,NA())</f>
        <v>11503932.284296401</v>
      </c>
      <c r="Q224" s="759">
        <f ca="1">'Terminal Value'!$H$138</f>
        <v>4379465.0854245424</v>
      </c>
      <c r="R224" s="475"/>
      <c r="S224" s="475"/>
      <c r="T224" s="475"/>
      <c r="U224" s="766"/>
      <c r="V224" s="168"/>
      <c r="W224" s="141"/>
      <c r="X224" s="772"/>
    </row>
    <row r="225" spans="1:25" ht="15" customHeight="1" x14ac:dyDescent="0.35">
      <c r="A225" s="137"/>
      <c r="B225" s="153"/>
      <c r="C225" s="19" t="str">
        <f ca="1">'Terminal Value'!C130</f>
        <v>EV/EBITDA Exit Multiple (6.0x)</v>
      </c>
      <c r="D225" s="19"/>
      <c r="E225" s="474" t="b">
        <v>1</v>
      </c>
      <c r="F225" s="19"/>
      <c r="G225" s="313" t="str">
        <f>Assumptions!$G$14</f>
        <v>USD</v>
      </c>
      <c r="H225" s="19"/>
      <c r="I225" s="19"/>
      <c r="J225" s="19"/>
      <c r="K225" s="462"/>
      <c r="L225" s="462"/>
      <c r="M225" s="787"/>
      <c r="N225" s="478" t="str">
        <f>IF(AND($E$218,$E225),'Terminal Value'!G130,NA())</f>
        <v>USD</v>
      </c>
      <c r="O225" s="758">
        <f>IF(AND($E$218,$E225),'Terminal Value'!H130,NA())</f>
        <v>7411126.1842153091</v>
      </c>
      <c r="P225" s="758">
        <f>IF(AND($E$219,$E225),'Terminal Value'!J130,NA())</f>
        <v>4843645.1634419914</v>
      </c>
      <c r="Q225" s="759">
        <f ca="1">'Terminal Value'!$H$138</f>
        <v>4379465.0854245424</v>
      </c>
      <c r="R225" s="475"/>
      <c r="S225" s="475"/>
      <c r="T225" s="475"/>
      <c r="U225" s="766"/>
      <c r="V225" s="168"/>
      <c r="W225" s="141"/>
      <c r="X225" s="772"/>
    </row>
    <row r="226" spans="1:25" ht="15" customHeight="1" x14ac:dyDescent="0.35">
      <c r="A226" s="137"/>
      <c r="B226" s="153"/>
      <c r="C226" s="19" t="str">
        <f ca="1">'Terminal Value'!C131</f>
        <v>EV/EBIT Exit Multiple (7.0x)</v>
      </c>
      <c r="D226" s="19"/>
      <c r="E226" s="474" t="b">
        <v>1</v>
      </c>
      <c r="F226" s="19"/>
      <c r="G226" s="313" t="str">
        <f>Assumptions!$G$14</f>
        <v>USD</v>
      </c>
      <c r="H226" s="19"/>
      <c r="I226" s="19"/>
      <c r="J226" s="19"/>
      <c r="K226" s="462"/>
      <c r="L226" s="462"/>
      <c r="M226" s="787"/>
      <c r="N226" s="478" t="str">
        <f>IF(AND($E$218,$E226),'Terminal Value'!G131,NA())</f>
        <v>USD</v>
      </c>
      <c r="O226" s="758">
        <f>IF(AND($E$218,$E226),'Terminal Value'!H131,NA())</f>
        <v>6196313.881584527</v>
      </c>
      <c r="P226" s="758">
        <f>IF(AND($E$219,$E226),'Terminal Value'!J131,NA())</f>
        <v>4049687.5937193502</v>
      </c>
      <c r="Q226" s="759">
        <f ca="1">'Terminal Value'!$H$138</f>
        <v>4379465.0854245424</v>
      </c>
      <c r="R226" s="475"/>
      <c r="S226" s="475"/>
      <c r="T226" s="475"/>
      <c r="U226" s="766"/>
      <c r="V226" s="168"/>
      <c r="W226" s="141"/>
      <c r="X226" s="772"/>
    </row>
    <row r="227" spans="1:25" ht="15" customHeight="1" x14ac:dyDescent="0.35">
      <c r="A227" s="137"/>
      <c r="B227" s="153"/>
      <c r="C227" s="19" t="str">
        <f ca="1">'Terminal Value'!C132</f>
        <v>P/E Exit Multiple (5.0x)</v>
      </c>
      <c r="D227" s="19"/>
      <c r="E227" s="474" t="b">
        <v>1</v>
      </c>
      <c r="F227" s="19"/>
      <c r="G227" s="313" t="str">
        <f>Assumptions!$G$14</f>
        <v>USD</v>
      </c>
      <c r="H227" s="19"/>
      <c r="I227" s="19"/>
      <c r="J227" s="19"/>
      <c r="K227" s="462"/>
      <c r="L227" s="462"/>
      <c r="M227" s="787"/>
      <c r="N227" s="478" t="str">
        <f>IF(AND($E$218,$E227),'Terminal Value'!G132,NA())</f>
        <v>USD</v>
      </c>
      <c r="O227" s="758">
        <f ca="1">IF(AND($E$218,$E227),'Terminal Value'!H132,NA())</f>
        <v>1214764.1460628277</v>
      </c>
      <c r="P227" s="758">
        <f ca="1">IF(AND($E$219,$E227),'Terminal Value'!J132,NA())</f>
        <v>793926.09632417734</v>
      </c>
      <c r="Q227" s="759">
        <f ca="1">'Terminal Value'!$H$138</f>
        <v>4379465.0854245424</v>
      </c>
      <c r="R227" s="475"/>
      <c r="S227" s="475"/>
      <c r="T227" s="475"/>
      <c r="U227" s="766"/>
      <c r="V227" s="168"/>
      <c r="W227" s="141"/>
      <c r="X227" s="772"/>
    </row>
    <row r="228" spans="1:25" ht="15" customHeight="1" x14ac:dyDescent="0.35">
      <c r="A228" s="137"/>
      <c r="B228" s="153"/>
      <c r="C228" s="19" t="str">
        <f ca="1">'Terminal Value'!C133</f>
        <v>P/B Exit Multiple (2.0x)</v>
      </c>
      <c r="D228" s="19"/>
      <c r="E228" s="474" t="b">
        <v>1</v>
      </c>
      <c r="F228" s="19"/>
      <c r="G228" s="313" t="str">
        <f>Assumptions!$G$14</f>
        <v>USD</v>
      </c>
      <c r="H228" s="19"/>
      <c r="I228" s="19"/>
      <c r="J228" s="19"/>
      <c r="K228" s="462"/>
      <c r="L228" s="462"/>
      <c r="M228" s="787"/>
      <c r="N228" s="478" t="str">
        <f>IF(AND($E$218,$E228),'Terminal Value'!G133,NA())</f>
        <v>USD</v>
      </c>
      <c r="O228" s="758">
        <f ca="1">IF(AND($E$218,$E228),'Terminal Value'!H133,NA())</f>
        <v>3526723.8469101926</v>
      </c>
      <c r="P228" s="758">
        <f ca="1">IF(AND($E$219,$E228),'Terminal Value'!J133,NA())</f>
        <v>2304939.6919276384</v>
      </c>
      <c r="Q228" s="759">
        <f ca="1">'Terminal Value'!$H$138</f>
        <v>4379465.0854245424</v>
      </c>
      <c r="R228" s="475"/>
      <c r="S228" s="475"/>
      <c r="T228" s="475"/>
      <c r="U228" s="766"/>
      <c r="V228" s="168"/>
      <c r="W228" s="141"/>
      <c r="X228" s="772"/>
    </row>
    <row r="229" spans="1:25" ht="15" customHeight="1" x14ac:dyDescent="0.35">
      <c r="A229" s="137"/>
      <c r="B229" s="153"/>
      <c r="C229" s="19" t="str">
        <f ca="1">'Terminal Value'!C134</f>
        <v>One Stage Value Driver</v>
      </c>
      <c r="D229" s="19"/>
      <c r="E229" s="474" t="b">
        <v>1</v>
      </c>
      <c r="F229" s="19"/>
      <c r="G229" s="313" t="str">
        <f>Assumptions!$G$14</f>
        <v>USD</v>
      </c>
      <c r="H229" s="19"/>
      <c r="I229" s="19"/>
      <c r="J229" s="19"/>
      <c r="K229" s="462"/>
      <c r="L229" s="462"/>
      <c r="M229" s="787"/>
      <c r="N229" s="478" t="str">
        <f>IF(AND($E$218,$E229),'Terminal Value'!G134,NA())</f>
        <v>USD</v>
      </c>
      <c r="O229" s="758">
        <f ca="1">IF(AND($E$218,$E229),'Terminal Value'!H134,NA())</f>
        <v>965088.17593289493</v>
      </c>
      <c r="P229" s="758">
        <f ca="1">IF(AND($E$219,$E229),'Terminal Value'!J134,NA())</f>
        <v>630746.87428862904</v>
      </c>
      <c r="Q229" s="759">
        <f ca="1">'Terminal Value'!$H$138</f>
        <v>4379465.0854245424</v>
      </c>
      <c r="R229" s="475"/>
      <c r="S229" s="475"/>
      <c r="T229" s="475"/>
      <c r="U229" s="766"/>
      <c r="V229" s="168"/>
      <c r="W229" s="141"/>
      <c r="X229" s="772"/>
    </row>
    <row r="230" spans="1:25" ht="15" customHeight="1" x14ac:dyDescent="0.35">
      <c r="A230" s="137"/>
      <c r="B230" s="153"/>
      <c r="C230" s="19" t="str">
        <f ca="1">'Terminal Value'!C135</f>
        <v>Two Stage Value Driver</v>
      </c>
      <c r="D230" s="19"/>
      <c r="E230" s="474" t="b">
        <v>1</v>
      </c>
      <c r="F230" s="19"/>
      <c r="G230" s="313" t="str">
        <f>Assumptions!$G$14</f>
        <v>USD</v>
      </c>
      <c r="H230" s="19"/>
      <c r="I230" s="19"/>
      <c r="J230" s="19"/>
      <c r="K230" s="462"/>
      <c r="L230" s="462"/>
      <c r="M230" s="787"/>
      <c r="N230" s="478" t="str">
        <f>IF(AND($E$218,$E230),'Terminal Value'!G135,NA())</f>
        <v>USD</v>
      </c>
      <c r="O230" s="758">
        <f ca="1">IF(AND($E$218,$E230),'Terminal Value'!H135,NA())</f>
        <v>4379465.0854245424</v>
      </c>
      <c r="P230" s="758">
        <f ca="1">IF(AND($E$219,$E230),'Terminal Value'!J135,NA())</f>
        <v>2862260.6540770489</v>
      </c>
      <c r="Q230" s="759">
        <f ca="1">'Terminal Value'!$H$138</f>
        <v>4379465.0854245424</v>
      </c>
      <c r="R230" s="475"/>
      <c r="S230" s="475"/>
      <c r="T230" s="475"/>
      <c r="U230" s="766"/>
      <c r="V230" s="168"/>
      <c r="W230" s="141"/>
      <c r="X230" s="772"/>
    </row>
    <row r="231" spans="1:25" ht="15" customHeight="1" x14ac:dyDescent="0.35">
      <c r="A231" s="137"/>
      <c r="B231" s="153"/>
      <c r="C231" s="19"/>
      <c r="D231" s="19"/>
      <c r="E231" s="19"/>
      <c r="F231" s="19"/>
      <c r="G231" s="19"/>
      <c r="H231" s="19"/>
      <c r="I231" s="19"/>
      <c r="J231" s="19"/>
      <c r="K231" s="462"/>
      <c r="L231" s="462"/>
      <c r="M231" s="787"/>
      <c r="N231" s="475"/>
      <c r="O231" s="475"/>
      <c r="P231" s="475"/>
      <c r="Q231" s="760"/>
      <c r="R231" s="475"/>
      <c r="S231" s="475"/>
      <c r="T231" s="475"/>
      <c r="U231" s="475"/>
      <c r="V231" s="168"/>
      <c r="W231" s="141"/>
      <c r="X231" s="772"/>
    </row>
    <row r="232" spans="1:25" ht="15" customHeight="1" x14ac:dyDescent="0.35">
      <c r="A232" s="137"/>
      <c r="B232" s="153"/>
      <c r="C232" s="19"/>
      <c r="D232" s="19"/>
      <c r="E232" s="19"/>
      <c r="F232" s="19"/>
      <c r="G232" s="19"/>
      <c r="H232" s="19"/>
      <c r="I232" s="19"/>
      <c r="J232" s="19"/>
      <c r="K232" s="462"/>
      <c r="L232" s="462"/>
      <c r="M232" s="787"/>
      <c r="N232" s="475"/>
      <c r="O232" s="475"/>
      <c r="P232" s="475"/>
      <c r="Q232" s="475"/>
      <c r="R232" s="475"/>
      <c r="S232" s="475"/>
      <c r="T232" s="475"/>
      <c r="U232" s="475"/>
      <c r="V232" s="168"/>
      <c r="W232" s="141"/>
      <c r="X232" s="772"/>
    </row>
    <row r="233" spans="1:25" s="18" customFormat="1" ht="15" customHeight="1" collapsed="1" x14ac:dyDescent="0.35">
      <c r="B233" s="190"/>
      <c r="C233" s="457"/>
      <c r="D233" s="457"/>
      <c r="E233" s="457"/>
      <c r="F233" s="457"/>
      <c r="G233" s="457"/>
      <c r="H233" s="457"/>
      <c r="I233" s="457"/>
      <c r="J233" s="457"/>
      <c r="K233" s="458"/>
      <c r="L233" s="458"/>
      <c r="M233" s="459"/>
      <c r="N233" s="458"/>
      <c r="O233" s="458"/>
      <c r="P233" s="458"/>
      <c r="Q233" s="458"/>
      <c r="R233" s="458"/>
      <c r="S233" s="458"/>
      <c r="T233" s="458"/>
      <c r="U233" s="458"/>
      <c r="V233" s="459"/>
      <c r="X233" s="223"/>
    </row>
    <row r="234" spans="1:25" s="18" customFormat="1" ht="15" customHeight="1" x14ac:dyDescent="0.35">
      <c r="X234" s="141"/>
    </row>
    <row r="235" spans="1:25" s="18" customFormat="1" ht="15" customHeight="1" x14ac:dyDescent="0.35">
      <c r="X235" s="141"/>
    </row>
    <row r="236" spans="1:25" s="18" customFormat="1" ht="15" customHeight="1" x14ac:dyDescent="0.35">
      <c r="X236" s="141"/>
    </row>
    <row r="237" spans="1:25" ht="15" customHeight="1" x14ac:dyDescent="0.35">
      <c r="C237" s="102" t="e">
        <f>Title!#REF!</f>
        <v>#REF!</v>
      </c>
      <c r="D237" s="102"/>
      <c r="E237" s="102"/>
      <c r="F237" s="9"/>
      <c r="G237" s="9"/>
      <c r="H237" s="9"/>
      <c r="I237" s="9"/>
      <c r="J237" s="9"/>
      <c r="K237" s="9"/>
      <c r="L237" s="9"/>
      <c r="M237" s="9"/>
      <c r="R237" s="9"/>
    </row>
    <row r="238" spans="1:25" s="18" customFormat="1" ht="15" customHeight="1" x14ac:dyDescent="0.35">
      <c r="C238" s="769" t="e">
        <f>Title!#REF!</f>
        <v>#REF!</v>
      </c>
      <c r="D238" s="479"/>
      <c r="E238" s="479"/>
      <c r="F238" s="241"/>
      <c r="G238" s="241"/>
      <c r="H238" s="241"/>
      <c r="I238" s="241"/>
      <c r="J238" s="241"/>
      <c r="K238" s="9"/>
      <c r="L238" s="9"/>
      <c r="M238" s="9"/>
      <c r="W238" s="137"/>
      <c r="X238" s="141"/>
      <c r="Y238" s="137"/>
    </row>
  </sheetData>
  <mergeCells count="1">
    <mergeCell ref="Q216:S217"/>
  </mergeCells>
  <hyperlinks>
    <hyperlink ref="C238" r:id="rId1" display="www.efinancialmodels.com" xr:uid="{80AC2C75-9D31-414F-9F19-B1A23085BFC1}"/>
  </hyperlinks>
  <printOptions horizontalCentered="1"/>
  <pageMargins left="0.5" right="0" top="0.5" bottom="0.5" header="0.3" footer="0.3"/>
  <pageSetup paperSize="9" scale="55" fitToHeight="0" orientation="portrait" r:id="rId2"/>
  <headerFooter>
    <oddFooter>&amp;L&amp;"Calibri,Regular"&amp;K000000Strictly private and confidential&amp;C&amp;"Calibri,Regular"&amp;K000000Page &amp;P of &amp;N&amp;R&amp;"Helvetica,Regular"&amp;12&amp;K000000&amp;F</oddFooter>
  </headerFooter>
  <rowBreaks count="1" manualBreakCount="1">
    <brk id="68" max="16383" man="1"/>
  </rowBreak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B8C0A2C5-DBE5-41EC-BAC8-635A9EDE62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Financials!K149:S149</xm:f>
              <xm:sqref>I149</xm:sqref>
            </x14:sparkline>
          </x14:sparklines>
        </x14:sparklineGroup>
        <x14:sparklineGroup manualMax="0" manualMin="0" displayEmptyCellsAs="gap" xr2:uid="{BC8B573D-9009-4345-8369-DF0F8E763EA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Financials!O80:S80</xm:f>
              <xm:sqref>I80</xm:sqref>
            </x14:sparkline>
          </x14:sparklines>
        </x14:sparklineGroup>
        <x14:sparklineGroup manualMax="0" manualMin="0" displayEmptyCellsAs="gap" xr2:uid="{B08C89B9-F37F-4F88-9EDB-78F562DFA7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Financials!O97:S97</xm:f>
              <xm:sqref>I97</xm:sqref>
            </x14:sparkline>
            <x14:sparkline>
              <xm:f>Financials!O98:S98</xm:f>
              <xm:sqref>I98</xm:sqref>
            </x14:sparkline>
          </x14:sparklines>
        </x14:sparklineGroup>
        <x14:sparklineGroup manualMax="0" manualMin="0" displayEmptyCellsAs="gap" xr2:uid="{B8FDDC73-C402-44DF-A2BE-318CDF41DB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Financials!O95:S95</xm:f>
              <xm:sqref>I95</xm:sqref>
            </x14:sparkline>
          </x14:sparklines>
        </x14:sparklineGroup>
        <x14:sparklineGroup manualMax="0" manualMin="0" displayEmptyCellsAs="gap" xr2:uid="{831A09B5-5250-4EFF-A305-4BB4FE7AC0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Financials!O91:S91</xm:f>
              <xm:sqref>I91</xm:sqref>
            </x14:sparkline>
            <x14:sparkline>
              <xm:f>Financials!O92:S92</xm:f>
              <xm:sqref>I92</xm:sqref>
            </x14:sparkline>
            <x14:sparkline>
              <xm:f>Financials!O93:S93</xm:f>
              <xm:sqref>I93</xm:sqref>
            </x14:sparkline>
          </x14:sparklines>
        </x14:sparklineGroup>
        <x14:sparklineGroup manualMax="0" manualMin="0" displayEmptyCellsAs="gap" xr2:uid="{EC0FCE6F-F178-441E-810F-F65FFBE0AC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Financials!O86:S86</xm:f>
              <xm:sqref>I86</xm:sqref>
            </x14:sparkline>
            <x14:sparkline>
              <xm:f>Financials!O87:S87</xm:f>
              <xm:sqref>I87</xm:sqref>
            </x14:sparkline>
          </x14:sparklines>
        </x14:sparklineGroup>
        <x14:sparklineGroup manualMax="0" manualMin="0" displayEmptyCellsAs="gap" xr2:uid="{46D1D442-3F45-4F22-BE74-45BA05EA21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Financials!O75:S75</xm:f>
              <xm:sqref>I75</xm:sqref>
            </x14:sparkline>
            <x14:sparkline>
              <xm:f>Financials!O76:S76</xm:f>
              <xm:sqref>I76</xm:sqref>
            </x14:sparkline>
            <x14:sparkline>
              <xm:f>Financials!O77:S77</xm:f>
              <xm:sqref>I77</xm:sqref>
            </x14:sparkline>
            <x14:sparkline>
              <xm:f>Financials!O78:S78</xm:f>
              <xm:sqref>I78</xm:sqref>
            </x14:sparkline>
            <x14:sparkline>
              <xm:f>Financials!O79:S79</xm:f>
              <xm:sqref>I79</xm:sqref>
            </x14:sparkline>
            <x14:sparkline>
              <xm:f>Financials!O81:S81</xm:f>
              <xm:sqref>I81</xm:sqref>
            </x14:sparkline>
            <x14:sparkline>
              <xm:f>Financials!O82:S82</xm:f>
              <xm:sqref>I82</xm:sqref>
            </x14:sparkline>
            <x14:sparkline>
              <xm:f>Financials!O83:S83</xm:f>
              <xm:sqref>I83</xm:sqref>
            </x14:sparkline>
          </x14:sparklines>
        </x14:sparklineGroup>
        <x14:sparklineGroup manualMax="0" manualMin="0" displayEmptyCellsAs="gap" xr2:uid="{84354505-8931-4BFB-BFD2-28D08CAB90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Financials!K141:S141</xm:f>
              <xm:sqref>I141</xm:sqref>
            </x14:sparkline>
            <x14:sparkline>
              <xm:f>Financials!K142:S142</xm:f>
              <xm:sqref>I142</xm:sqref>
            </x14:sparkline>
            <x14:sparkline>
              <xm:f>Financials!K143:S143</xm:f>
              <xm:sqref>I143</xm:sqref>
            </x14:sparkline>
            <x14:sparkline>
              <xm:f>Financials!K144:S144</xm:f>
              <xm:sqref>I144</xm:sqref>
            </x14:sparkline>
            <x14:sparkline>
              <xm:f>Financials!K145:S145</xm:f>
              <xm:sqref>I145</xm:sqref>
            </x14:sparkline>
            <x14:sparkline>
              <xm:f>Financials!K146:S146</xm:f>
              <xm:sqref>I146</xm:sqref>
            </x14:sparkline>
          </x14:sparklines>
        </x14:sparklineGroup>
        <x14:sparklineGroup manualMax="0" manualMin="0" displayEmptyCellsAs="gap" xr2:uid="{4B8B0E6D-1C36-4950-9281-D53BDD17DE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Financials!K132:S132</xm:f>
              <xm:sqref>I132</xm:sqref>
            </x14:sparkline>
            <x14:sparkline>
              <xm:f>Financials!K133:S133</xm:f>
              <xm:sqref>I133</xm:sqref>
            </x14:sparkline>
            <x14:sparkline>
              <xm:f>Financials!K134:S134</xm:f>
              <xm:sqref>I134</xm:sqref>
            </x14:sparkline>
            <x14:sparkline>
              <xm:f>Financials!K135:S135</xm:f>
              <xm:sqref>I135</xm:sqref>
            </x14:sparkline>
            <x14:sparkline>
              <xm:f>Financials!K136:S136</xm:f>
              <xm:sqref>I136</xm:sqref>
            </x14:sparkline>
            <x14:sparkline>
              <xm:f>Financials!K137:S137</xm:f>
              <xm:sqref>I137</xm:sqref>
            </x14:sparkline>
            <x14:sparkline>
              <xm:f>Financials!K138:S138</xm:f>
              <xm:sqref>I138</xm:sqref>
            </x14:sparkline>
          </x14:sparklines>
        </x14:sparklineGroup>
        <x14:sparklineGroup manualMax="0" manualMin="0" displayEmptyCellsAs="gap" xr2:uid="{1F871BE4-5406-4209-81D2-F516B7C691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Financials!K30:S30</xm:f>
              <xm:sqref>I30</xm:sqref>
            </x14:sparkline>
            <x14:sparkline>
              <xm:f>Financials!K31:S31</xm:f>
              <xm:sqref>I31</xm:sqref>
            </x14:sparkline>
          </x14:sparklines>
        </x14:sparklineGroup>
        <x14:sparklineGroup manualMax="0" manualMin="0" displayEmptyCellsAs="gap" xr2:uid="{18D521EE-C1F5-4E4C-B52C-6705BBE582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Financials!K26:S26</xm:f>
              <xm:sqref>I26</xm:sqref>
            </x14:sparkline>
            <x14:sparkline>
              <xm:f>Financials!K27:S27</xm:f>
              <xm:sqref>I27</xm:sqref>
            </x14:sparkline>
          </x14:sparklines>
        </x14:sparklineGroup>
        <x14:sparklineGroup manualMax="0" manualMin="0" displayEmptyCellsAs="gap" xr2:uid="{49E4D558-7180-447D-98DB-3C03661B9E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Financials!K22:S22</xm:f>
              <xm:sqref>I22</xm:sqref>
            </x14:sparkline>
          </x14:sparklines>
        </x14:sparklineGroup>
        <x14:sparklineGroup manualMax="0" manualMin="0" displayEmptyCellsAs="gap" xr2:uid="{EE682D85-CAE2-4C36-837D-E32C06E181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Financials!K123:S123</xm:f>
              <xm:sqref>I123</xm:sqref>
            </x14:sparkline>
            <x14:sparkline>
              <xm:f>Financials!K124:S124</xm:f>
              <xm:sqref>I124</xm:sqref>
            </x14:sparkline>
            <x14:sparkline>
              <xm:f>Financials!K125:S125</xm:f>
              <xm:sqref>I125</xm:sqref>
            </x14:sparkline>
            <x14:sparkline>
              <xm:f>Financials!K126:S126</xm:f>
              <xm:sqref>I126</xm:sqref>
            </x14:sparkline>
            <x14:sparkline>
              <xm:f>Financials!K127:S127</xm:f>
              <xm:sqref>I127</xm:sqref>
            </x14:sparkline>
            <x14:sparkline>
              <xm:f>Financials!K128:S128</xm:f>
              <xm:sqref>I128</xm:sqref>
            </x14:sparkline>
            <x14:sparkline>
              <xm:f>Financials!K129:S129</xm:f>
              <xm:sqref>I129</xm:sqref>
            </x14:sparkline>
          </x14:sparklines>
        </x14:sparklineGroup>
        <x14:sparklineGroup manualMax="0" manualMin="0" displayEmptyCellsAs="gap" xr2:uid="{E7FE1652-9A7E-4338-9331-88423D910E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Financials!K118:S118</xm:f>
              <xm:sqref>I118</xm:sqref>
            </x14:sparkline>
            <x14:sparkline>
              <xm:f>Financials!K119:S119</xm:f>
              <xm:sqref>I119</xm:sqref>
            </x14:sparkline>
            <x14:sparkline>
              <xm:f>Financials!K120:S120</xm:f>
              <xm:sqref>I120</xm:sqref>
            </x14:sparkline>
          </x14:sparklines>
        </x14:sparklineGroup>
        <x14:sparklineGroup manualMax="0" manualMin="0" displayEmptyCellsAs="gap" xr2:uid="{5A7AD534-B892-4143-A74A-9EB4400C30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Financials!K110:S110</xm:f>
              <xm:sqref>I110</xm:sqref>
            </x14:sparkline>
            <x14:sparkline>
              <xm:f>Financials!K111:S111</xm:f>
              <xm:sqref>I111</xm:sqref>
            </x14:sparkline>
            <x14:sparkline>
              <xm:f>Financials!K112:S112</xm:f>
              <xm:sqref>I112</xm:sqref>
            </x14:sparkline>
            <x14:sparkline>
              <xm:f>Financials!K113:S113</xm:f>
              <xm:sqref>I113</xm:sqref>
            </x14:sparkline>
            <x14:sparkline>
              <xm:f>Financials!K114:S114</xm:f>
              <xm:sqref>I114</xm:sqref>
            </x14:sparkline>
          </x14:sparklines>
        </x14:sparklineGroup>
        <x14:sparklineGroup manualMax="0" manualMin="0" displayEmptyCellsAs="gap" xr2:uid="{B0CE8C6F-2177-4D5E-8B58-DC8FC57B3B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Financials!K154:S154</xm:f>
              <xm:sqref>I154</xm:sqref>
            </x14:sparkline>
            <x14:sparkline>
              <xm:f>Financials!K155:S155</xm:f>
              <xm:sqref>I155</xm:sqref>
            </x14:sparkline>
            <x14:sparkline>
              <xm:f>Financials!K156:S156</xm:f>
              <xm:sqref>I156</xm:sqref>
            </x14:sparkline>
          </x14:sparklines>
        </x14:sparklineGroup>
        <x14:sparklineGroup manualMax="0" manualMin="0" displayEmptyCellsAs="gap" xr2:uid="{D49E0317-5305-4CA7-B620-4166B94DC2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Financials!K148:S148</xm:f>
              <xm:sqref>I148</xm:sqref>
            </x14:sparkline>
            <x14:sparkline>
              <xm:f>Financials!K150:S150</xm:f>
              <xm:sqref>I150</xm:sqref>
            </x14:sparkline>
            <x14:sparkline>
              <xm:f>Financials!K151:S151</xm:f>
              <xm:sqref>I151</xm:sqref>
            </x14:sparkline>
            <x14:sparkline>
              <xm:f>Financials!K152:S152</xm:f>
              <xm:sqref>I152</xm:sqref>
            </x14:sparkline>
          </x14:sparklines>
        </x14:sparklineGroup>
        <x14:sparklineGroup manualMax="0" manualMin="0" displayEmptyCellsAs="gap" xr2:uid="{F9638AD6-7FF8-4CAD-9E83-05EC1596B8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Financials!K115:S115</xm:f>
              <xm:sqref>I115</xm:sqref>
            </x14:sparkline>
          </x14:sparklines>
        </x14:sparklineGroup>
        <x14:sparklineGroup manualMax="0" manualMin="0" displayEmptyCellsAs="gap" xr2:uid="{F6744EED-7A3C-4D3F-B82E-2614FBC31F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Financials!K160:S160</xm:f>
              <xm:sqref>I160</xm:sqref>
            </x14:sparkline>
            <x14:sparkline>
              <xm:f>Financials!K164:S164</xm:f>
              <xm:sqref>I164</xm:sqref>
            </x14:sparkline>
            <x14:sparkline>
              <xm:f>Financials!K165:S165</xm:f>
              <xm:sqref>I165</xm:sqref>
            </x14:sparkline>
            <x14:sparkline>
              <xm:f>Financials!K166:S166</xm:f>
              <xm:sqref>I166</xm:sqref>
            </x14:sparkline>
          </x14:sparklines>
        </x14:sparklineGroup>
        <x14:sparklineGroup manualMax="0" manualMin="0" displayEmptyCellsAs="gap" xr2:uid="{267EA124-9713-415A-B321-39DCC368C2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Financials!K158:S158</xm:f>
              <xm:sqref>I158</xm:sqref>
            </x14:sparkline>
          </x14:sparklines>
        </x14:sparklineGroup>
        <x14:sparklineGroup manualMax="0" manualMin="0" displayEmptyCellsAs="gap" xr2:uid="{33830E31-5A4B-46EA-9C2A-4F9ACEE9166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Financials!K10:S10</xm:f>
              <xm:sqref>I10</xm:sqref>
            </x14:sparkline>
          </x14:sparklines>
        </x14:sparklineGroup>
        <x14:sparklineGroup manualMax="0" manualMin="0" displayEmptyCellsAs="gap" xr2:uid="{738DD54D-EA73-40E8-B33A-9239EEE7D1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Financials!K162:S162</xm:f>
              <xm:sqref>I162</xm:sqref>
            </x14:sparkline>
          </x14:sparklines>
        </x14:sparklineGroup>
        <x14:sparklineGroup manualMax="0" manualMin="0" displayEmptyCellsAs="gap" xr2:uid="{063251C7-09FA-4082-9192-A6AAC1B230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Financials!K161:S161</xm:f>
              <xm:sqref>I161</xm:sqref>
            </x14:sparkline>
          </x14:sparklines>
        </x14:sparklineGroup>
        <x14:sparklineGroup manualMax="0" manualMin="0" displayEmptyCellsAs="gap" xr2:uid="{3AF5ED36-BDB6-48D2-BB94-9191A022B4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Financials!K41:S41</xm:f>
              <xm:sqref>I41</xm:sqref>
            </x14:sparkline>
            <x14:sparkline>
              <xm:f>Financials!K42:S42</xm:f>
              <xm:sqref>I42</xm:sqref>
            </x14:sparkline>
            <x14:sparkline>
              <xm:f>Financials!K43:S43</xm:f>
              <xm:sqref>I43</xm:sqref>
            </x14:sparkline>
            <x14:sparkline>
              <xm:f>Financials!K44:S44</xm:f>
              <xm:sqref>I44</xm:sqref>
            </x14:sparkline>
            <x14:sparkline>
              <xm:f>Financials!K46:S46</xm:f>
              <xm:sqref>I46</xm:sqref>
            </x14:sparkline>
            <x14:sparkline>
              <xm:f>Financials!K47:S47</xm:f>
              <xm:sqref>I47</xm:sqref>
            </x14:sparkline>
            <x14:sparkline>
              <xm:f>Financials!K49:S49</xm:f>
              <xm:sqref>I49</xm:sqref>
            </x14:sparkline>
            <x14:sparkline>
              <xm:f>Financials!K50:S50</xm:f>
              <xm:sqref>I50</xm:sqref>
            </x14:sparkline>
          </x14:sparklines>
        </x14:sparklineGroup>
        <x14:sparklineGroup manualMax="0" manualMin="0" displayEmptyCellsAs="gap" xr2:uid="{F68780AC-DE27-495B-93F8-59285E1A0C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Financials!K54:S54</xm:f>
              <xm:sqref>I54</xm:sqref>
            </x14:sparkline>
            <x14:sparkline>
              <xm:f>Financials!K55:S55</xm:f>
              <xm:sqref>I55</xm:sqref>
            </x14:sparkline>
            <x14:sparkline>
              <xm:f>Financials!K59:S59</xm:f>
              <xm:sqref>I59</xm:sqref>
            </x14:sparkline>
            <x14:sparkline>
              <xm:f>Financials!K62:S62</xm:f>
              <xm:sqref>I62</xm:sqref>
            </x14:sparkline>
            <x14:sparkline>
              <xm:f>Financials!K63:S63</xm:f>
              <xm:sqref>I63</xm:sqref>
            </x14:sparkline>
            <x14:sparkline>
              <xm:f>Financials!K64:S64</xm:f>
              <xm:sqref>I64</xm:sqref>
            </x14:sparkline>
          </x14:sparklines>
        </x14:sparklineGroup>
        <x14:sparklineGroup manualMax="0" manualMin="0" displayEmptyCellsAs="gap" xr2:uid="{52338A20-5EE9-4950-A7AC-141F0BBD48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Financials!O13:S13</xm:f>
              <xm:sqref>I13</xm:sqref>
            </x14:sparkline>
            <x14:sparkline>
              <xm:f>Financials!O14:S14</xm:f>
              <xm:sqref>I14</xm:sqref>
            </x14:sparkline>
          </x14:sparklines>
        </x14:sparklineGroup>
        <x14:sparklineGroup manualMax="0" manualMin="0" displayEmptyCellsAs="gap" xr2:uid="{D15E4489-82CA-44B8-817C-7C159FF659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Financials!K17:S17</xm:f>
              <xm:sqref>I17</xm:sqref>
            </x14:sparkline>
            <x14:sparkline>
              <xm:f>Financials!K18:S18</xm:f>
              <xm:sqref>I18</xm:sqref>
            </x14:sparkline>
          </x14:sparklines>
        </x14:sparklineGroup>
        <x14:sparklineGroup manualMax="0" manualMin="0" displayEmptyCellsAs="gap" xr2:uid="{EB66247F-9282-43E0-8B57-3F0B4A0D88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Financials!K9:S9</xm:f>
              <xm:sqref>I9</xm:sqref>
            </x14:sparkline>
          </x14:sparklines>
        </x14:sparklineGroup>
        <x14:sparklineGroup manualMax="0" manualMin="0" displayEmptyCellsAs="gap" xr2:uid="{23D49BCE-8EB7-41E8-AAD8-FAA23DE168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Financials!K21:S21</xm:f>
              <xm:sqref>I21</xm:sqref>
            </x14:sparkline>
          </x14:sparklines>
        </x14:sparklineGroup>
        <x14:sparklineGroup manualMax="0" manualMin="0" displayEmptyCellsAs="gap" xr2:uid="{462E99B8-AED6-45A2-8B87-2FC04151F4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Financials!K25:S25</xm:f>
              <xm:sqref>I25</xm:sqref>
            </x14:sparkline>
          </x14:sparklines>
        </x14:sparklineGroup>
        <x14:sparklineGroup manualMax="0" manualMin="0" displayEmptyCellsAs="gap" xr2:uid="{92971A87-EC30-4E44-9EA9-4EAC8EE757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Financials!K45:S45</xm:f>
              <xm:sqref>I45</xm:sqref>
            </x14:sparkline>
          </x14:sparklines>
        </x14:sparklineGroup>
        <x14:sparklineGroup manualMax="0" manualMin="0" displayEmptyCellsAs="gap" xr2:uid="{83346058-1C50-4B4B-8D6B-040EE7C0A4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Financials!K48:S48</xm:f>
              <xm:sqref>I48</xm:sqref>
            </x14:sparkline>
          </x14:sparklines>
        </x14:sparklineGroup>
        <x14:sparklineGroup manualMax="0" manualMin="0" displayEmptyCellsAs="gap" xr2:uid="{C17F10DD-18F5-4DC6-A513-61A885ED28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Financials!K53:S53</xm:f>
              <xm:sqref>I53</xm:sqref>
            </x14:sparkline>
          </x14:sparklines>
        </x14:sparklineGroup>
        <x14:sparklineGroup manualMax="0" manualMin="0" displayEmptyCellsAs="gap" xr2:uid="{C309DF93-5EC9-44EB-8D5E-13AD7F5B24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Financials!K56:S56</xm:f>
              <xm:sqref>I56</xm:sqref>
            </x14:sparkline>
            <x14:sparkline>
              <xm:f>Financials!K57:S57</xm:f>
              <xm:sqref>I57</xm:sqref>
            </x14:sparkline>
          </x14:sparklines>
        </x14:sparklineGroup>
        <x14:sparklineGroup manualMax="0" manualMin="0" displayEmptyCellsAs="gap" xr2:uid="{52067BE8-FBFA-4E87-98D3-7CC8ED67C0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Financials!K58:S58</xm:f>
              <xm:sqref>I58</xm:sqref>
            </x14:sparkline>
          </x14:sparklines>
        </x14:sparklineGroup>
        <x14:sparklineGroup manualMax="0" manualMin="0" displayEmptyCellsAs="gap" xr2:uid="{A2DCA4D3-F244-4947-A96F-ACB5C9F7A3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Financials!K60:S60</xm:f>
              <xm:sqref>I60</xm:sqref>
            </x14:sparkline>
            <x14:sparkline>
              <xm:f>Financials!K61:S61</xm:f>
              <xm:sqref>I61</xm:sqref>
            </x14:sparkline>
          </x14:sparklines>
        </x14:sparklineGroup>
        <x14:sparklineGroup manualMax="0" manualMin="0" displayEmptyCellsAs="gap" xr2:uid="{C5ABB61A-2CC6-48A1-B7AC-C9676AE2F6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Financials!K163:S163</xm:f>
              <xm:sqref>I163</xm:sqref>
            </x14:sparkline>
          </x14:sparklines>
        </x14:sparklineGroup>
        <x14:sparklineGroup manualMax="0" manualMin="0" displayEmptyCellsAs="gap" xr2:uid="{9413EA90-2525-4747-AFB9-8D85F1E1C0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Financials!O90:S90</xm:f>
              <xm:sqref>I90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D74E-8EFF-4BE0-8965-2CFCF739BD86}">
  <sheetPr>
    <tabColor rgb="FF258A6E"/>
    <pageSetUpPr fitToPage="1"/>
  </sheetPr>
  <dimension ref="A1:V64"/>
  <sheetViews>
    <sheetView showGridLines="0" zoomScale="85" zoomScaleNormal="85" zoomScaleSheetLayoutView="55" workbookViewId="0">
      <pane xSplit="8" ySplit="8" topLeftCell="I9" activePane="bottomRight" state="frozen"/>
      <selection activeCell="C12" sqref="A1:XFD1048576"/>
      <selection pane="topRight" activeCell="C12" sqref="A1:XFD1048576"/>
      <selection pane="bottomLeft" activeCell="C12" sqref="A1:XFD1048576"/>
      <selection pane="bottomRight" activeCell="A7" sqref="A7"/>
    </sheetView>
  </sheetViews>
  <sheetFormatPr defaultColWidth="8.4140625" defaultRowHeight="15" customHeight="1" outlineLevelRow="1" outlineLevelCol="1" x14ac:dyDescent="0.35"/>
  <cols>
    <col min="1" max="1" width="4.58203125" style="18" customWidth="1"/>
    <col min="2" max="2" width="1.58203125" style="18" customWidth="1"/>
    <col min="3" max="3" width="24.58203125" style="18" customWidth="1"/>
    <col min="4" max="5" width="2.58203125" style="18" customWidth="1"/>
    <col min="6" max="6" width="10.58203125" style="18" customWidth="1"/>
    <col min="7" max="7" width="1.58203125" style="18" customWidth="1"/>
    <col min="8" max="8" width="12.58203125" style="18" customWidth="1"/>
    <col min="9" max="12" width="1.58203125" style="18" customWidth="1"/>
    <col min="13" max="18" width="16.58203125" style="18" customWidth="1"/>
    <col min="19" max="19" width="1.58203125" style="18" customWidth="1"/>
    <col min="20" max="20" width="2" style="137" hidden="1" customWidth="1" outlineLevel="1"/>
    <col min="21" max="21" width="12.58203125" style="141" hidden="1" customWidth="1" outlineLevel="1"/>
    <col min="22" max="22" width="8.4140625" style="137" collapsed="1"/>
    <col min="23" max="16384" width="8.4140625" style="137"/>
  </cols>
  <sheetData>
    <row r="1" spans="1:21" s="18" customFormat="1" ht="15" customHeight="1" x14ac:dyDescent="0.35">
      <c r="S1" s="9"/>
      <c r="U1" s="129"/>
    </row>
    <row r="2" spans="1:21" s="9" customFormat="1" ht="15" customHeight="1" x14ac:dyDescent="0.35">
      <c r="B2" s="130" t="str">
        <f>Title!$B$5</f>
        <v xml:space="preserve">DCF Valuation Model </v>
      </c>
      <c r="P2" s="14"/>
      <c r="Q2" s="14"/>
      <c r="R2" s="131"/>
      <c r="S2" s="131" t="e">
        <f>Title!#REF!&amp;" "&amp;Title!#REF!</f>
        <v>#REF!</v>
      </c>
      <c r="U2" s="132"/>
    </row>
    <row r="3" spans="1:21" s="9" customFormat="1" ht="1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699"/>
      <c r="Q3" s="699"/>
      <c r="R3" s="36"/>
      <c r="S3" s="689" t="e">
        <f>Title!#REF!</f>
        <v>#REF!</v>
      </c>
      <c r="U3" s="133">
        <f ca="1">SUM(U4:U59)</f>
        <v>0</v>
      </c>
    </row>
    <row r="4" spans="1:21" s="9" customFormat="1" ht="15" customHeight="1" x14ac:dyDescent="0.35">
      <c r="P4" s="14"/>
      <c r="Q4" s="14"/>
      <c r="R4" s="14"/>
      <c r="S4" s="14"/>
      <c r="U4" s="134"/>
    </row>
    <row r="5" spans="1:21" s="9" customFormat="1" ht="20.399999999999999" x14ac:dyDescent="0.35">
      <c r="C5" s="135" t="s">
        <v>37</v>
      </c>
      <c r="D5" s="135"/>
      <c r="E5" s="135"/>
      <c r="F5" s="136"/>
      <c r="P5" s="14"/>
      <c r="Q5" s="14"/>
      <c r="R5" s="14"/>
      <c r="S5" s="14"/>
      <c r="U5" s="129"/>
    </row>
    <row r="6" spans="1:21" ht="15" customHeight="1" x14ac:dyDescent="0.35">
      <c r="A6" s="137"/>
      <c r="B6" s="137"/>
      <c r="C6" s="138" t="str">
        <f>"All amounts in "&amp;Assumptions!$G$14</f>
        <v>All amounts in USD</v>
      </c>
      <c r="D6" s="138"/>
      <c r="E6" s="138"/>
      <c r="F6" s="138"/>
      <c r="G6" s="139"/>
      <c r="H6" s="139"/>
      <c r="I6" s="139"/>
      <c r="J6" s="139"/>
      <c r="K6" s="139"/>
      <c r="L6" s="139"/>
      <c r="M6" s="139"/>
      <c r="N6" s="19"/>
      <c r="O6" s="19"/>
      <c r="P6" s="19"/>
      <c r="Q6" s="19"/>
      <c r="R6" s="19"/>
      <c r="S6" s="140"/>
    </row>
    <row r="7" spans="1:21" s="139" customFormat="1" ht="15" customHeight="1" x14ac:dyDescent="0.35">
      <c r="A7" s="22">
        <v>1</v>
      </c>
      <c r="B7" s="142"/>
      <c r="C7" s="143" t="str">
        <f>C5</f>
        <v>Free Cash Flow to Firm</v>
      </c>
      <c r="D7" s="143"/>
      <c r="E7" s="143"/>
      <c r="F7" s="143"/>
      <c r="G7" s="143"/>
      <c r="H7" s="143"/>
      <c r="I7" s="143"/>
      <c r="J7" s="143"/>
      <c r="K7" s="143"/>
      <c r="L7" s="143"/>
      <c r="M7" s="871">
        <f ca="1">Financials!M$7</f>
        <v>2026</v>
      </c>
      <c r="N7" s="871">
        <f ca="1">Financials!O$7</f>
        <v>2027</v>
      </c>
      <c r="O7" s="871">
        <f ca="1">Financials!P$7</f>
        <v>2028</v>
      </c>
      <c r="P7" s="871">
        <f ca="1">Financials!Q$7</f>
        <v>2029</v>
      </c>
      <c r="Q7" s="871">
        <f ca="1">Financials!R$7</f>
        <v>2030</v>
      </c>
      <c r="R7" s="871">
        <f ca="1">Financials!S$7</f>
        <v>2031</v>
      </c>
      <c r="S7" s="145"/>
      <c r="U7" s="146"/>
    </row>
    <row r="8" spans="1:21" s="9" customFormat="1" ht="15" customHeight="1" x14ac:dyDescent="0.35">
      <c r="A8" s="19"/>
      <c r="B8" s="147"/>
      <c r="C8" s="148" t="s">
        <v>46</v>
      </c>
      <c r="D8" s="148"/>
      <c r="E8" s="148"/>
      <c r="F8" s="148"/>
      <c r="G8" s="149"/>
      <c r="H8" s="149"/>
      <c r="I8" s="149"/>
      <c r="J8" s="150"/>
      <c r="K8" s="150"/>
      <c r="L8" s="150"/>
      <c r="M8" s="150">
        <f>Financials!M$8</f>
        <v>0</v>
      </c>
      <c r="N8" s="150">
        <f>Financials!O$8</f>
        <v>1</v>
      </c>
      <c r="O8" s="150">
        <f>Financials!P$8</f>
        <v>2</v>
      </c>
      <c r="P8" s="150">
        <f>Financials!Q$8</f>
        <v>3</v>
      </c>
      <c r="Q8" s="150">
        <f>Financials!R$8</f>
        <v>4</v>
      </c>
      <c r="R8" s="150">
        <f>Financials!S$8</f>
        <v>5</v>
      </c>
      <c r="S8" s="152"/>
      <c r="U8" s="129"/>
    </row>
    <row r="9" spans="1:21" ht="15" customHeight="1" x14ac:dyDescent="0.35">
      <c r="A9" s="137"/>
      <c r="B9" s="153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54"/>
      <c r="O9" s="154"/>
      <c r="P9" s="154"/>
      <c r="Q9" s="154"/>
      <c r="R9" s="154"/>
      <c r="S9" s="155"/>
    </row>
    <row r="10" spans="1:21" ht="15" customHeight="1" x14ac:dyDescent="0.35">
      <c r="A10" s="137"/>
      <c r="B10" s="153"/>
      <c r="C10" s="18" t="str">
        <f>Assumptions!C60</f>
        <v>Discount Rate (WACC)</v>
      </c>
      <c r="H10" s="18" t="str">
        <f>Assumptions!E60</f>
        <v>%</v>
      </c>
      <c r="J10" s="156"/>
      <c r="K10" s="156"/>
      <c r="L10" s="156"/>
      <c r="M10" s="157">
        <f>Assumptions!G60</f>
        <v>9.9124999999999991E-2</v>
      </c>
      <c r="N10" s="158"/>
      <c r="O10" s="158"/>
      <c r="P10" s="158"/>
      <c r="Q10" s="158"/>
      <c r="R10" s="158"/>
      <c r="S10" s="159"/>
    </row>
    <row r="11" spans="1:21" ht="15" customHeight="1" x14ac:dyDescent="0.35">
      <c r="B11" s="160"/>
      <c r="C11" s="18" t="str">
        <f>Assumptions!C59&amp;" and Period"</f>
        <v>Discounting Method and Period</v>
      </c>
      <c r="H11" s="18" t="str">
        <f>Assumptions!E59</f>
        <v>Years</v>
      </c>
      <c r="M11" s="161" t="str">
        <f>Assumptions!G59</f>
        <v>Mid-Year</v>
      </c>
      <c r="S11" s="162"/>
    </row>
    <row r="12" spans="1:21" ht="15" hidden="1" customHeight="1" outlineLevel="1" x14ac:dyDescent="0.35">
      <c r="B12" s="160"/>
      <c r="C12" s="163" t="str">
        <f>Assumptions!R82</f>
        <v>Mid-Year</v>
      </c>
      <c r="D12" s="163"/>
      <c r="E12" s="163"/>
      <c r="F12" s="164">
        <f>Assumptions!T82</f>
        <v>0.5</v>
      </c>
      <c r="H12" s="137"/>
      <c r="N12" s="165"/>
      <c r="O12" s="166"/>
      <c r="P12" s="166"/>
      <c r="Q12" s="166"/>
      <c r="R12" s="166"/>
      <c r="S12" s="162"/>
    </row>
    <row r="13" spans="1:21" ht="15" hidden="1" customHeight="1" outlineLevel="1" x14ac:dyDescent="0.35">
      <c r="B13" s="160"/>
      <c r="C13" s="163" t="str">
        <f>Assumptions!R83</f>
        <v>End of Year</v>
      </c>
      <c r="D13" s="163"/>
      <c r="E13" s="163"/>
      <c r="F13" s="164">
        <f>Assumptions!T83</f>
        <v>1</v>
      </c>
      <c r="H13" s="137"/>
      <c r="N13" s="165"/>
      <c r="O13" s="166"/>
      <c r="P13" s="166"/>
      <c r="Q13" s="166"/>
      <c r="R13" s="166"/>
      <c r="S13" s="162"/>
    </row>
    <row r="14" spans="1:21" s="139" customFormat="1" ht="15" customHeight="1" collapsed="1" x14ac:dyDescent="0.35">
      <c r="B14" s="185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663"/>
      <c r="U14" s="444"/>
    </row>
    <row r="15" spans="1:21" ht="15" customHeight="1" x14ac:dyDescent="0.35">
      <c r="A15" s="137"/>
      <c r="B15" s="160"/>
      <c r="C15" s="13" t="str">
        <f>'Terminal Value'!C137</f>
        <v>Selected Terminal Value Model</v>
      </c>
      <c r="M15" s="139" t="str">
        <f>'Executive Summary'!$P$81</f>
        <v>Two Stage Value Driver</v>
      </c>
      <c r="S15" s="167"/>
    </row>
    <row r="16" spans="1:21" ht="15" customHeight="1" x14ac:dyDescent="0.35">
      <c r="A16" s="137"/>
      <c r="B16" s="153"/>
      <c r="D16" s="137"/>
      <c r="E16" s="137"/>
      <c r="F16" s="137"/>
      <c r="G16" s="137"/>
      <c r="N16" s="137"/>
      <c r="O16" s="137"/>
      <c r="P16" s="137"/>
      <c r="Q16" s="137"/>
      <c r="R16" s="137"/>
      <c r="S16" s="168"/>
    </row>
    <row r="17" spans="1:21" ht="15" customHeight="1" x14ac:dyDescent="0.35">
      <c r="A17" s="137"/>
      <c r="B17" s="160"/>
      <c r="C17" s="169" t="str">
        <f>C7</f>
        <v>Free Cash Flow to Firm</v>
      </c>
      <c r="D17" s="169"/>
      <c r="E17" s="169"/>
      <c r="F17" s="169"/>
      <c r="G17" s="170"/>
      <c r="H17" s="170"/>
      <c r="I17" s="171"/>
      <c r="S17" s="167"/>
    </row>
    <row r="18" spans="1:21" ht="15" customHeight="1" x14ac:dyDescent="0.35">
      <c r="A18" s="137"/>
      <c r="B18" s="153"/>
      <c r="C18" s="172" t="s">
        <v>96</v>
      </c>
      <c r="D18" s="172"/>
      <c r="E18" s="172"/>
      <c r="F18" s="172"/>
      <c r="G18" s="173"/>
      <c r="H18" s="174" t="str">
        <f>Assumptions!$G$14</f>
        <v>USD</v>
      </c>
      <c r="I18" s="174"/>
      <c r="J18" s="173"/>
      <c r="K18" s="173"/>
      <c r="L18" s="173"/>
      <c r="M18" s="175"/>
      <c r="N18" s="176">
        <f>Financials!O22</f>
        <v>800684.68181818142</v>
      </c>
      <c r="O18" s="176">
        <f>Financials!P22</f>
        <v>883236.03295454499</v>
      </c>
      <c r="P18" s="176">
        <f>Financials!Q22</f>
        <v>961473.36877840851</v>
      </c>
      <c r="Q18" s="176">
        <f>Financials!R22</f>
        <v>960055.14428096544</v>
      </c>
      <c r="R18" s="176">
        <f>Financials!S22</f>
        <v>885187.69736921811</v>
      </c>
      <c r="S18" s="177"/>
      <c r="U18" s="141">
        <f>SUM(N18:R18)-SUM(Financials!O22:S22)</f>
        <v>0</v>
      </c>
    </row>
    <row r="19" spans="1:21" ht="15" customHeight="1" x14ac:dyDescent="0.35">
      <c r="A19" s="137"/>
      <c r="B19" s="153"/>
      <c r="C19" s="19" t="s">
        <v>97</v>
      </c>
      <c r="D19" s="19"/>
      <c r="E19" s="19"/>
      <c r="F19" s="19"/>
      <c r="G19" s="178"/>
      <c r="H19" s="179" t="str">
        <f>Assumptions!$G$14</f>
        <v>USD</v>
      </c>
      <c r="I19" s="179"/>
      <c r="J19" s="178"/>
      <c r="K19" s="178"/>
      <c r="L19" s="178"/>
      <c r="M19" s="180"/>
      <c r="N19" s="3">
        <f>IF(N18&lt;0,0,-N18*Financials!O145)</f>
        <v>-200171.17045454535</v>
      </c>
      <c r="O19" s="3">
        <f>IF(O18&lt;0,0,-O18*Financials!P145)</f>
        <v>-220809.00823863625</v>
      </c>
      <c r="P19" s="3">
        <f>IF(P18&lt;0,0,-P18*Financials!Q145)</f>
        <v>-240368.34219460213</v>
      </c>
      <c r="Q19" s="3">
        <f>IF(Q18&lt;0,0,-Q18*Financials!R145)</f>
        <v>-240013.78607024136</v>
      </c>
      <c r="R19" s="3">
        <f>IF(R18&lt;0,0,-R18*Financials!S145)</f>
        <v>-221296.92434230453</v>
      </c>
      <c r="S19" s="177"/>
    </row>
    <row r="20" spans="1:21" ht="15" customHeight="1" x14ac:dyDescent="0.35">
      <c r="A20" s="181"/>
      <c r="B20" s="182"/>
      <c r="C20" s="9" t="s">
        <v>101</v>
      </c>
      <c r="D20" s="9"/>
      <c r="E20" s="9"/>
      <c r="F20" s="9"/>
      <c r="G20" s="183"/>
      <c r="H20" s="126" t="str">
        <f>Assumptions!$G$14</f>
        <v>USD</v>
      </c>
      <c r="I20" s="126"/>
      <c r="J20" s="183"/>
      <c r="K20" s="183"/>
      <c r="L20" s="183"/>
      <c r="M20" s="42"/>
      <c r="N20" s="71">
        <f>Financials!O76</f>
        <v>300000</v>
      </c>
      <c r="O20" s="71">
        <f>Financials!P76</f>
        <v>300000</v>
      </c>
      <c r="P20" s="71">
        <f>Financials!Q76</f>
        <v>300000</v>
      </c>
      <c r="Q20" s="71">
        <f>Financials!R76</f>
        <v>300000</v>
      </c>
      <c r="R20" s="71">
        <f>Financials!S76</f>
        <v>350000</v>
      </c>
      <c r="S20" s="184"/>
    </row>
    <row r="21" spans="1:21" ht="15" customHeight="1" x14ac:dyDescent="0.35">
      <c r="B21" s="160"/>
      <c r="C21" s="9" t="s">
        <v>36</v>
      </c>
      <c r="D21" s="9"/>
      <c r="E21" s="9"/>
      <c r="F21" s="9"/>
      <c r="G21" s="183"/>
      <c r="H21" s="126" t="str">
        <f>Assumptions!$G$14</f>
        <v>USD</v>
      </c>
      <c r="I21" s="126"/>
      <c r="J21" s="183"/>
      <c r="K21" s="183"/>
      <c r="L21" s="183"/>
      <c r="M21" s="42"/>
      <c r="N21" s="71">
        <f ca="1">SUM(Financials!O77:O82)</f>
        <v>-24378.864863013689</v>
      </c>
      <c r="O21" s="71">
        <f ca="1">SUM(Financials!P77:P82)</f>
        <v>-31316.426900619437</v>
      </c>
      <c r="P21" s="71">
        <f ca="1">SUM(Financials!Q77:Q82)</f>
        <v>-25763.406367681113</v>
      </c>
      <c r="Q21" s="71">
        <f ca="1">SUM(Financials!R77:R82)</f>
        <v>-24557.179769579419</v>
      </c>
      <c r="R21" s="71">
        <f ca="1">SUM(Financials!S77:S82)</f>
        <v>-25785.038758058476</v>
      </c>
      <c r="S21" s="184"/>
    </row>
    <row r="22" spans="1:21" ht="15" customHeight="1" x14ac:dyDescent="0.35">
      <c r="B22" s="160"/>
      <c r="C22" s="9" t="s">
        <v>0</v>
      </c>
      <c r="D22" s="9"/>
      <c r="E22" s="9"/>
      <c r="F22" s="9"/>
      <c r="G22" s="183"/>
      <c r="H22" s="126" t="str">
        <f>Assumptions!$G$14</f>
        <v>USD</v>
      </c>
      <c r="I22" s="126"/>
      <c r="J22" s="183"/>
      <c r="K22" s="183"/>
      <c r="L22" s="183"/>
      <c r="M22" s="42"/>
      <c r="N22" s="71">
        <f>Financials!O86</f>
        <v>0</v>
      </c>
      <c r="O22" s="71">
        <f>Financials!P86</f>
        <v>0</v>
      </c>
      <c r="P22" s="71">
        <f>Financials!Q86</f>
        <v>0</v>
      </c>
      <c r="Q22" s="71">
        <f>Financials!R86</f>
        <v>-250000</v>
      </c>
      <c r="R22" s="71">
        <f>Financials!S86</f>
        <v>0</v>
      </c>
      <c r="S22" s="184"/>
    </row>
    <row r="23" spans="1:21" s="139" customFormat="1" ht="15" customHeight="1" x14ac:dyDescent="0.35">
      <c r="A23" s="13"/>
      <c r="B23" s="185"/>
      <c r="C23" s="84" t="str">
        <f>C17</f>
        <v>Free Cash Flow to Firm</v>
      </c>
      <c r="D23" s="84"/>
      <c r="E23" s="84"/>
      <c r="F23" s="84"/>
      <c r="G23" s="186"/>
      <c r="H23" s="128" t="str">
        <f>Assumptions!$G$14</f>
        <v>USD</v>
      </c>
      <c r="I23" s="128"/>
      <c r="J23" s="186"/>
      <c r="K23" s="186"/>
      <c r="L23" s="186"/>
      <c r="M23" s="187"/>
      <c r="N23" s="121">
        <f ca="1">SUM(N18:N22)</f>
        <v>876134.64650062227</v>
      </c>
      <c r="O23" s="121">
        <f ca="1">SUM(O18:O22)</f>
        <v>931110.59781528939</v>
      </c>
      <c r="P23" s="121">
        <f ca="1">SUM(P18:P22)</f>
        <v>995341.62021612527</v>
      </c>
      <c r="Q23" s="121">
        <f ca="1">SUM(Q18:Q22)</f>
        <v>745484.17844114464</v>
      </c>
      <c r="R23" s="121">
        <f ca="1">SUM(R18:R22)</f>
        <v>988105.73426885519</v>
      </c>
      <c r="S23" s="6"/>
      <c r="U23" s="141">
        <f ca="1">SUM(N18:R22)-SUM(N23:R23)</f>
        <v>0</v>
      </c>
    </row>
    <row r="24" spans="1:21" ht="15" customHeight="1" x14ac:dyDescent="0.35">
      <c r="A24" s="137"/>
      <c r="B24" s="190"/>
      <c r="C24" s="191"/>
      <c r="D24" s="191"/>
      <c r="E24" s="191"/>
      <c r="F24" s="191"/>
      <c r="G24" s="192"/>
      <c r="H24" s="124"/>
      <c r="I24" s="124"/>
      <c r="J24" s="192"/>
      <c r="K24" s="192"/>
      <c r="L24" s="192"/>
      <c r="M24" s="192"/>
      <c r="N24" s="193"/>
      <c r="O24" s="193"/>
      <c r="P24" s="193"/>
      <c r="Q24" s="193"/>
      <c r="R24" s="193"/>
      <c r="S24" s="194"/>
    </row>
    <row r="25" spans="1:21" ht="15" customHeight="1" x14ac:dyDescent="0.35">
      <c r="N25" s="195"/>
      <c r="O25" s="195"/>
      <c r="P25" s="195"/>
      <c r="Q25" s="195"/>
      <c r="R25" s="195"/>
      <c r="S25" s="195"/>
    </row>
    <row r="26" spans="1:21" ht="15" customHeight="1" x14ac:dyDescent="0.35">
      <c r="N26" s="195"/>
      <c r="O26" s="195"/>
      <c r="P26" s="195"/>
      <c r="Q26" s="195"/>
      <c r="R26" s="195"/>
      <c r="S26" s="195"/>
    </row>
    <row r="27" spans="1:21" ht="15" customHeight="1" x14ac:dyDescent="0.35">
      <c r="C27" s="135" t="s">
        <v>20</v>
      </c>
      <c r="D27" s="135"/>
      <c r="E27" s="135"/>
      <c r="F27" s="135"/>
      <c r="N27" s="195"/>
      <c r="O27" s="195"/>
      <c r="P27" s="195"/>
      <c r="Q27" s="195"/>
      <c r="R27" s="195"/>
      <c r="S27" s="195"/>
    </row>
    <row r="28" spans="1:21" ht="15" customHeight="1" x14ac:dyDescent="0.35">
      <c r="A28" s="137"/>
      <c r="B28" s="137"/>
      <c r="C28" s="138" t="str">
        <f>"All amounts in "&amp;Assumptions!$G$14</f>
        <v>All amounts in USD</v>
      </c>
      <c r="D28" s="138"/>
      <c r="E28" s="138"/>
      <c r="F28" s="138"/>
      <c r="G28" s="139"/>
      <c r="H28" s="139"/>
      <c r="I28" s="139"/>
      <c r="J28" s="139"/>
      <c r="K28" s="139"/>
      <c r="L28" s="139"/>
      <c r="M28" s="139"/>
      <c r="N28" s="19"/>
      <c r="O28" s="19"/>
      <c r="P28" s="19"/>
      <c r="Q28" s="19"/>
      <c r="R28" s="19"/>
      <c r="S28" s="140"/>
    </row>
    <row r="29" spans="1:21" s="13" customFormat="1" ht="15" customHeight="1" x14ac:dyDescent="0.35">
      <c r="A29" s="22">
        <f>A7+1</f>
        <v>2</v>
      </c>
      <c r="B29" s="196"/>
      <c r="C29" s="143" t="str">
        <f>C27</f>
        <v>DCF Valuation</v>
      </c>
      <c r="D29" s="143"/>
      <c r="E29" s="143"/>
      <c r="F29" s="143"/>
      <c r="G29" s="143"/>
      <c r="H29" s="143" t="s">
        <v>45</v>
      </c>
      <c r="I29" s="143"/>
      <c r="J29" s="143"/>
      <c r="K29" s="143"/>
      <c r="L29" s="143"/>
      <c r="M29" s="143"/>
      <c r="N29" s="871">
        <f ca="1">Financials!O$7</f>
        <v>2027</v>
      </c>
      <c r="O29" s="871">
        <f ca="1">Financials!P$7</f>
        <v>2028</v>
      </c>
      <c r="P29" s="871">
        <f ca="1">Financials!Q$7</f>
        <v>2029</v>
      </c>
      <c r="Q29" s="871">
        <f ca="1">Financials!R$7</f>
        <v>2030</v>
      </c>
      <c r="R29" s="871">
        <f ca="1">Financials!S$7</f>
        <v>2031</v>
      </c>
      <c r="S29" s="197"/>
      <c r="U29" s="198"/>
    </row>
    <row r="30" spans="1:21" s="9" customFormat="1" ht="15" customHeight="1" x14ac:dyDescent="0.35">
      <c r="A30" s="137"/>
      <c r="B30" s="147"/>
      <c r="C30" s="148" t="s">
        <v>46</v>
      </c>
      <c r="D30" s="148"/>
      <c r="E30" s="148"/>
      <c r="F30" s="148"/>
      <c r="G30" s="149"/>
      <c r="H30" s="149"/>
      <c r="I30" s="149"/>
      <c r="J30" s="150"/>
      <c r="K30" s="150"/>
      <c r="L30" s="150"/>
      <c r="M30" s="150"/>
      <c r="N30" s="150">
        <f>Financials!O$8</f>
        <v>1</v>
      </c>
      <c r="O30" s="150">
        <f>Financials!P$8</f>
        <v>2</v>
      </c>
      <c r="P30" s="150">
        <f>Financials!Q$8</f>
        <v>3</v>
      </c>
      <c r="Q30" s="150">
        <f>Financials!R$8</f>
        <v>4</v>
      </c>
      <c r="R30" s="150">
        <f>Financials!S$8</f>
        <v>5</v>
      </c>
      <c r="S30" s="152"/>
      <c r="U30" s="129"/>
    </row>
    <row r="31" spans="1:21" ht="15" customHeight="1" x14ac:dyDescent="0.35">
      <c r="A31" s="137"/>
      <c r="B31" s="153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99"/>
      <c r="O31" s="199"/>
      <c r="P31" s="199"/>
      <c r="Q31" s="199"/>
      <c r="R31" s="199"/>
      <c r="S31" s="159"/>
    </row>
    <row r="32" spans="1:21" ht="15" customHeight="1" x14ac:dyDescent="0.35">
      <c r="A32" s="137"/>
      <c r="B32" s="160"/>
      <c r="C32" s="13" t="str">
        <f>C17</f>
        <v>Free Cash Flow to Firm</v>
      </c>
      <c r="D32" s="13"/>
      <c r="E32" s="13"/>
      <c r="F32" s="13"/>
      <c r="G32" s="183"/>
      <c r="H32" s="471" t="str">
        <f>Assumptions!$G$14</f>
        <v>USD</v>
      </c>
      <c r="I32" s="471"/>
      <c r="J32" s="183"/>
      <c r="K32" s="183"/>
      <c r="L32" s="183"/>
      <c r="M32" s="183"/>
      <c r="N32" s="451">
        <f ca="1">N23</f>
        <v>876134.64650062227</v>
      </c>
      <c r="O32" s="451">
        <f ca="1">O23</f>
        <v>931110.59781528939</v>
      </c>
      <c r="P32" s="451">
        <f ca="1">P23</f>
        <v>995341.62021612527</v>
      </c>
      <c r="Q32" s="451">
        <f ca="1">Q23</f>
        <v>745484.17844114464</v>
      </c>
      <c r="R32" s="451">
        <f ca="1">R23</f>
        <v>988105.73426885519</v>
      </c>
      <c r="S32" s="6"/>
    </row>
    <row r="33" spans="1:21" ht="15" customHeight="1" x14ac:dyDescent="0.35">
      <c r="B33" s="160"/>
      <c r="C33" s="86" t="s">
        <v>189</v>
      </c>
      <c r="D33" s="86"/>
      <c r="E33" s="86"/>
      <c r="F33" s="86"/>
      <c r="G33" s="202"/>
      <c r="H33" s="203" t="str">
        <f>Assumptions!$G$14</f>
        <v>USD</v>
      </c>
      <c r="I33" s="203"/>
      <c r="J33" s="202"/>
      <c r="K33" s="202"/>
      <c r="L33" s="202"/>
      <c r="M33" s="202"/>
      <c r="N33" s="662"/>
      <c r="O33" s="662"/>
      <c r="P33" s="662"/>
      <c r="Q33" s="662"/>
      <c r="R33" s="662">
        <f ca="1">'Terminal Value'!H138</f>
        <v>4379465.0854245424</v>
      </c>
      <c r="S33" s="184"/>
    </row>
    <row r="34" spans="1:21" ht="15" customHeight="1" x14ac:dyDescent="0.35">
      <c r="B34" s="160"/>
      <c r="C34" s="84" t="str">
        <f>C32&amp;" incl. TV"</f>
        <v>Free Cash Flow to Firm incl. TV</v>
      </c>
      <c r="D34" s="84"/>
      <c r="E34" s="84"/>
      <c r="F34" s="84"/>
      <c r="G34" s="186"/>
      <c r="H34" s="128" t="str">
        <f>Assumptions!$G$14</f>
        <v>USD</v>
      </c>
      <c r="I34" s="128"/>
      <c r="J34" s="186"/>
      <c r="K34" s="186"/>
      <c r="L34" s="186"/>
      <c r="M34" s="186"/>
      <c r="N34" s="121">
        <f t="shared" ref="N34:Q34" ca="1" si="0">SUM(N32:N33)</f>
        <v>876134.64650062227</v>
      </c>
      <c r="O34" s="121">
        <f t="shared" ca="1" si="0"/>
        <v>931110.59781528939</v>
      </c>
      <c r="P34" s="121">
        <f t="shared" ca="1" si="0"/>
        <v>995341.62021612527</v>
      </c>
      <c r="Q34" s="121">
        <f t="shared" ca="1" si="0"/>
        <v>745484.17844114464</v>
      </c>
      <c r="R34" s="121">
        <f ca="1">SUM(R32:R33)</f>
        <v>5367570.8196933977</v>
      </c>
      <c r="S34" s="162"/>
    </row>
    <row r="35" spans="1:21" ht="15" customHeight="1" x14ac:dyDescent="0.35">
      <c r="B35" s="160"/>
      <c r="C35" s="18" t="s">
        <v>12</v>
      </c>
      <c r="H35" s="204" t="s">
        <v>15</v>
      </c>
      <c r="N35" s="205">
        <f>IF(M11=C12,F12,IF(M11=C13,F13,0))</f>
        <v>0.5</v>
      </c>
      <c r="O35" s="205">
        <f>N35+1</f>
        <v>1.5</v>
      </c>
      <c r="P35" s="205">
        <f t="shared" ref="P35:R35" si="1">O35+1</f>
        <v>2.5</v>
      </c>
      <c r="Q35" s="205">
        <f t="shared" si="1"/>
        <v>3.5</v>
      </c>
      <c r="R35" s="205">
        <f t="shared" si="1"/>
        <v>4.5</v>
      </c>
      <c r="S35" s="162"/>
    </row>
    <row r="36" spans="1:21" ht="15" customHeight="1" x14ac:dyDescent="0.35">
      <c r="B36" s="160"/>
      <c r="H36" s="204"/>
      <c r="N36" s="205"/>
      <c r="O36" s="205"/>
      <c r="P36" s="205"/>
      <c r="Q36" s="205"/>
      <c r="R36" s="205"/>
      <c r="S36" s="162"/>
    </row>
    <row r="37" spans="1:21" ht="15" customHeight="1" x14ac:dyDescent="0.35">
      <c r="B37" s="160"/>
      <c r="C37" s="137" t="s">
        <v>13</v>
      </c>
      <c r="D37" s="137"/>
      <c r="E37" s="137"/>
      <c r="F37" s="137"/>
      <c r="G37" s="183"/>
      <c r="H37" s="50" t="s">
        <v>14</v>
      </c>
      <c r="I37" s="206"/>
      <c r="J37" s="183"/>
      <c r="K37" s="183"/>
      <c r="L37" s="183"/>
      <c r="M37" s="183"/>
      <c r="N37" s="207">
        <f>1/(1+$M$10)^N35</f>
        <v>0.95384203370898968</v>
      </c>
      <c r="O37" s="207">
        <f>1/(1+$M$10)^O35</f>
        <v>0.86781943246581561</v>
      </c>
      <c r="P37" s="207">
        <f>1/(1+$M$10)^P35</f>
        <v>0.78955481175099818</v>
      </c>
      <c r="Q37" s="207">
        <f>1/(1+$M$10)^Q35</f>
        <v>0.71834851518343978</v>
      </c>
      <c r="R37" s="207">
        <f>1/(1+$M$10)^R35</f>
        <v>0.65356398515495484</v>
      </c>
      <c r="S37" s="78"/>
    </row>
    <row r="38" spans="1:21" ht="15" customHeight="1" x14ac:dyDescent="0.35">
      <c r="B38" s="160"/>
      <c r="C38" s="137"/>
      <c r="D38" s="137"/>
      <c r="E38" s="137"/>
      <c r="F38" s="137"/>
      <c r="G38" s="183"/>
      <c r="H38" s="50"/>
      <c r="I38" s="206"/>
      <c r="J38" s="183"/>
      <c r="K38" s="183"/>
      <c r="L38" s="183"/>
      <c r="M38" s="183"/>
      <c r="N38" s="207"/>
      <c r="O38" s="207"/>
      <c r="P38" s="207"/>
      <c r="Q38" s="207"/>
      <c r="R38" s="207"/>
      <c r="S38" s="78"/>
    </row>
    <row r="39" spans="1:21" ht="15" customHeight="1" x14ac:dyDescent="0.35">
      <c r="B39" s="160"/>
      <c r="C39" s="137" t="s">
        <v>146</v>
      </c>
      <c r="D39" s="137"/>
      <c r="E39" s="137"/>
      <c r="F39" s="137"/>
      <c r="G39" s="183"/>
      <c r="H39" s="50"/>
      <c r="I39" s="206"/>
      <c r="J39" s="183"/>
      <c r="K39" s="183"/>
      <c r="L39" s="183"/>
      <c r="M39" s="183"/>
      <c r="N39" s="661">
        <f ca="1">N32*N$37</f>
        <v>835694.0530210603</v>
      </c>
      <c r="O39" s="661">
        <f ca="1">O32*O$37</f>
        <v>808035.87055897072</v>
      </c>
      <c r="P39" s="661">
        <f ca="1">P32*P$37</f>
        <v>785876.76557767636</v>
      </c>
      <c r="Q39" s="661">
        <f ca="1">Q32*Q$37</f>
        <v>535517.45267594268</v>
      </c>
      <c r="R39" s="661">
        <f ca="1">R32*R$37</f>
        <v>645790.32144321583</v>
      </c>
      <c r="S39" s="78"/>
    </row>
    <row r="40" spans="1:21" ht="15" customHeight="1" x14ac:dyDescent="0.35">
      <c r="B40" s="160"/>
      <c r="C40" s="137" t="s">
        <v>253</v>
      </c>
      <c r="D40" s="137"/>
      <c r="E40" s="137"/>
      <c r="F40" s="137"/>
      <c r="G40" s="183"/>
      <c r="H40" s="50"/>
      <c r="I40" s="206"/>
      <c r="J40" s="183"/>
      <c r="K40" s="183"/>
      <c r="L40" s="183"/>
      <c r="M40" s="183"/>
      <c r="N40" s="661"/>
      <c r="O40" s="661"/>
      <c r="P40" s="661"/>
      <c r="Q40" s="661"/>
      <c r="R40" s="661">
        <f ca="1">R33*R$37</f>
        <v>2862260.6540770489</v>
      </c>
      <c r="S40" s="78"/>
    </row>
    <row r="41" spans="1:21" ht="15" customHeight="1" x14ac:dyDescent="0.35">
      <c r="B41" s="160"/>
      <c r="C41" s="208" t="s">
        <v>142</v>
      </c>
      <c r="D41" s="208"/>
      <c r="E41" s="208"/>
      <c r="F41" s="208"/>
      <c r="G41" s="186"/>
      <c r="H41" s="209" t="str">
        <f>Assumptions!$G$14</f>
        <v>USD</v>
      </c>
      <c r="I41" s="210"/>
      <c r="J41" s="186"/>
      <c r="K41" s="186"/>
      <c r="L41" s="186"/>
      <c r="M41" s="187"/>
      <c r="N41" s="8">
        <f ca="1">SUM(N39:N40)</f>
        <v>835694.0530210603</v>
      </c>
      <c r="O41" s="8">
        <f t="shared" ref="O41:R41" ca="1" si="2">SUM(O39:O40)</f>
        <v>808035.87055897072</v>
      </c>
      <c r="P41" s="8">
        <f t="shared" ca="1" si="2"/>
        <v>785876.76557767636</v>
      </c>
      <c r="Q41" s="8">
        <f t="shared" ca="1" si="2"/>
        <v>535517.45267594268</v>
      </c>
      <c r="R41" s="8">
        <f t="shared" ca="1" si="2"/>
        <v>3508050.9755202648</v>
      </c>
      <c r="S41" s="78"/>
    </row>
    <row r="42" spans="1:21" ht="15" customHeight="1" x14ac:dyDescent="0.35">
      <c r="B42" s="160"/>
      <c r="C42" s="137"/>
      <c r="D42" s="137"/>
      <c r="E42" s="137"/>
      <c r="F42" s="137"/>
      <c r="G42" s="183"/>
      <c r="H42" s="204"/>
      <c r="I42" s="206"/>
      <c r="J42" s="183"/>
      <c r="K42" s="183"/>
      <c r="L42" s="183"/>
      <c r="M42" s="42"/>
      <c r="N42" s="97"/>
      <c r="O42" s="97"/>
      <c r="P42" s="97"/>
      <c r="Q42" s="97"/>
      <c r="R42" s="97"/>
      <c r="S42" s="78"/>
    </row>
    <row r="43" spans="1:21" ht="15" customHeight="1" x14ac:dyDescent="0.35">
      <c r="B43" s="160"/>
      <c r="C43" s="139"/>
      <c r="D43" s="139"/>
      <c r="E43" s="139"/>
      <c r="F43" s="139"/>
      <c r="G43" s="211"/>
      <c r="H43" s="212"/>
      <c r="I43" s="213"/>
      <c r="J43" s="211"/>
      <c r="K43" s="211"/>
      <c r="L43" s="211"/>
      <c r="M43" s="214"/>
      <c r="N43" s="97"/>
      <c r="O43" s="97"/>
      <c r="P43" s="97"/>
      <c r="Q43" s="97"/>
      <c r="R43" s="97"/>
      <c r="S43" s="78"/>
    </row>
    <row r="44" spans="1:21" ht="15" customHeight="1" x14ac:dyDescent="0.35">
      <c r="B44" s="160"/>
      <c r="C44" s="137"/>
      <c r="D44" s="137"/>
      <c r="E44" s="137"/>
      <c r="F44" s="137"/>
      <c r="G44" s="183"/>
      <c r="H44" s="204"/>
      <c r="I44" s="206"/>
      <c r="J44" s="183"/>
      <c r="K44" s="183"/>
      <c r="L44" s="183"/>
      <c r="M44" s="215"/>
      <c r="N44" s="1"/>
      <c r="O44" s="1"/>
      <c r="P44" s="1"/>
      <c r="Q44" s="1"/>
      <c r="R44" s="1"/>
      <c r="S44" s="78"/>
    </row>
    <row r="45" spans="1:21" ht="15" customHeight="1" x14ac:dyDescent="0.35">
      <c r="B45" s="160"/>
      <c r="C45" s="169" t="s">
        <v>248</v>
      </c>
      <c r="D45" s="169"/>
      <c r="E45" s="169"/>
      <c r="F45" s="169"/>
      <c r="G45" s="216"/>
      <c r="H45" s="216"/>
      <c r="I45" s="216"/>
      <c r="J45" s="216"/>
      <c r="K45" s="216"/>
      <c r="L45" s="216"/>
      <c r="M45" s="851">
        <f ca="1">DATE(M7,12,31)</f>
        <v>44925</v>
      </c>
      <c r="N45" s="217"/>
      <c r="O45" s="1"/>
      <c r="P45" s="122" t="s">
        <v>250</v>
      </c>
      <c r="Q45" s="123"/>
      <c r="R45" s="123"/>
      <c r="S45" s="78"/>
    </row>
    <row r="46" spans="1:21" ht="15" customHeight="1" x14ac:dyDescent="0.35">
      <c r="A46" s="137"/>
      <c r="B46" s="153"/>
      <c r="C46" s="137" t="str">
        <f>C40</f>
        <v>PV of Terminal Value</v>
      </c>
      <c r="D46" s="137"/>
      <c r="E46" s="137"/>
      <c r="F46" s="137"/>
      <c r="G46" s="178"/>
      <c r="H46" s="312" t="str">
        <f>Assumptions!$G$14</f>
        <v>USD</v>
      </c>
      <c r="I46" s="252"/>
      <c r="J46" s="178"/>
      <c r="K46" s="178"/>
      <c r="L46" s="178"/>
      <c r="M46" s="3">
        <f ca="1">R40</f>
        <v>2862260.6540770489</v>
      </c>
      <c r="N46" s="75">
        <f ca="1">IFERROR(M46/M$48,0)</f>
        <v>0.44217259724731123</v>
      </c>
      <c r="O46" s="2"/>
      <c r="P46" s="300" t="s">
        <v>93</v>
      </c>
      <c r="Q46" s="174" t="str">
        <f>Assumptions!$G$14</f>
        <v>USD</v>
      </c>
      <c r="R46" s="850">
        <f ca="1">R33</f>
        <v>4379465.0854245424</v>
      </c>
      <c r="S46" s="177"/>
    </row>
    <row r="47" spans="1:21" ht="15" customHeight="1" x14ac:dyDescent="0.35">
      <c r="B47" s="160"/>
      <c r="C47" s="137" t="str">
        <f>C39</f>
        <v>PV of Forecast Period</v>
      </c>
      <c r="D47" s="137"/>
      <c r="E47" s="137"/>
      <c r="F47" s="137"/>
      <c r="G47" s="183"/>
      <c r="H47" s="204" t="str">
        <f>Assumptions!$G$14</f>
        <v>USD</v>
      </c>
      <c r="I47" s="206"/>
      <c r="J47" s="183"/>
      <c r="K47" s="183"/>
      <c r="L47" s="183"/>
      <c r="M47" s="38">
        <f ca="1">M48-M46</f>
        <v>3610914.4632768654</v>
      </c>
      <c r="N47" s="69">
        <f ca="1">IFERROR(M47/M$48,0)</f>
        <v>0.55782740275268883</v>
      </c>
      <c r="O47" s="1"/>
      <c r="P47" s="125" t="s">
        <v>275</v>
      </c>
      <c r="Q47" s="126" t="str">
        <f>Assumptions!$G$14</f>
        <v>USD</v>
      </c>
      <c r="R47" s="1">
        <f>-Financials!$S$59</f>
        <v>-500000</v>
      </c>
      <c r="S47" s="78"/>
    </row>
    <row r="48" spans="1:21" ht="15" customHeight="1" x14ac:dyDescent="0.35">
      <c r="B48" s="160"/>
      <c r="C48" s="208" t="s">
        <v>93</v>
      </c>
      <c r="D48" s="208"/>
      <c r="E48" s="208"/>
      <c r="F48" s="208"/>
      <c r="G48" s="219"/>
      <c r="H48" s="220" t="str">
        <f>Assumptions!$G$14</f>
        <v>USD</v>
      </c>
      <c r="I48" s="220"/>
      <c r="J48" s="219"/>
      <c r="K48" s="219"/>
      <c r="L48" s="219"/>
      <c r="M48" s="242">
        <f ca="1">SUM(N41:R41)</f>
        <v>6473175.1173539143</v>
      </c>
      <c r="N48" s="221">
        <f ca="1">SUM(N46:N47)</f>
        <v>1</v>
      </c>
      <c r="O48" s="137"/>
      <c r="P48" s="125" t="s">
        <v>94</v>
      </c>
      <c r="Q48" s="126" t="str">
        <f>Assumptions!$G$14</f>
        <v>USD</v>
      </c>
      <c r="R48" s="1">
        <f ca="1">+Financials!$S$41</f>
        <v>2543752.2190717403</v>
      </c>
      <c r="S48" s="222"/>
      <c r="U48" s="223"/>
    </row>
    <row r="49" spans="1:22" ht="15" customHeight="1" x14ac:dyDescent="0.35">
      <c r="B49" s="160"/>
      <c r="C49" s="224" t="s">
        <v>16</v>
      </c>
      <c r="D49" s="224"/>
      <c r="E49" s="224"/>
      <c r="F49" s="224"/>
      <c r="G49" s="206"/>
      <c r="H49" s="126" t="str">
        <f>Assumptions!$G$14</f>
        <v>USD</v>
      </c>
      <c r="I49" s="126"/>
      <c r="J49" s="206"/>
      <c r="K49" s="206"/>
      <c r="L49" s="206"/>
      <c r="M49" s="1">
        <f>-Financials!M$59</f>
        <v>-2000000</v>
      </c>
      <c r="N49" s="69">
        <f t="shared" ref="N49:N51" ca="1" si="3">IFERROR(M49/M$48,0)</f>
        <v>-0.30896738675247737</v>
      </c>
      <c r="O49" s="137"/>
      <c r="P49" s="127" t="s">
        <v>95</v>
      </c>
      <c r="Q49" s="128" t="str">
        <f>Assumptions!$G$14</f>
        <v>USD</v>
      </c>
      <c r="R49" s="8">
        <f ca="1">SUM(R46:R48)</f>
        <v>6423217.3044962827</v>
      </c>
      <c r="S49" s="78"/>
      <c r="U49" s="223"/>
    </row>
    <row r="50" spans="1:22" ht="15" customHeight="1" x14ac:dyDescent="0.35">
      <c r="B50" s="160"/>
      <c r="C50" s="18" t="s">
        <v>94</v>
      </c>
      <c r="G50" s="206"/>
      <c r="H50" s="126" t="str">
        <f>Assumptions!$G$14</f>
        <v>USD</v>
      </c>
      <c r="I50" s="126"/>
      <c r="J50" s="206"/>
      <c r="K50" s="206"/>
      <c r="L50" s="206"/>
      <c r="M50" s="1">
        <f>Financials!M$41</f>
        <v>600000</v>
      </c>
      <c r="N50" s="69">
        <f t="shared" ca="1" si="3"/>
        <v>9.2690216025743219E-2</v>
      </c>
      <c r="O50" s="139"/>
      <c r="P50" s="225"/>
      <c r="Q50" s="225"/>
      <c r="R50" s="244"/>
      <c r="S50" s="78"/>
      <c r="U50" s="223"/>
    </row>
    <row r="51" spans="1:22" ht="15" customHeight="1" x14ac:dyDescent="0.35">
      <c r="B51" s="160"/>
      <c r="C51" s="200" t="s">
        <v>95</v>
      </c>
      <c r="D51" s="200"/>
      <c r="E51" s="200"/>
      <c r="F51" s="200"/>
      <c r="G51" s="226"/>
      <c r="H51" s="201" t="str">
        <f>Assumptions!$G$14</f>
        <v>USD</v>
      </c>
      <c r="I51" s="201"/>
      <c r="J51" s="226"/>
      <c r="K51" s="226"/>
      <c r="L51" s="226"/>
      <c r="M51" s="243">
        <f ca="1">SUM(M48:M50)</f>
        <v>5073175.1173539143</v>
      </c>
      <c r="N51" s="114">
        <f t="shared" ca="1" si="3"/>
        <v>0.78372282927326586</v>
      </c>
      <c r="O51" s="139"/>
      <c r="P51" s="46"/>
      <c r="Q51" s="46"/>
      <c r="R51" s="46"/>
      <c r="S51" s="222"/>
      <c r="U51" s="223"/>
    </row>
    <row r="52" spans="1:22" ht="15.95" customHeight="1" x14ac:dyDescent="0.35">
      <c r="B52" s="160"/>
      <c r="C52" s="13"/>
      <c r="D52" s="13"/>
      <c r="E52" s="13"/>
      <c r="F52" s="13"/>
      <c r="G52" s="213"/>
      <c r="H52" s="213"/>
      <c r="I52" s="213"/>
      <c r="J52" s="213"/>
      <c r="K52" s="213"/>
      <c r="L52" s="213"/>
      <c r="M52" s="213"/>
      <c r="N52" s="227"/>
      <c r="O52" s="227"/>
      <c r="P52" s="227"/>
      <c r="Q52" s="227"/>
      <c r="R52" s="227"/>
      <c r="S52" s="228"/>
    </row>
    <row r="53" spans="1:22" s="233" customFormat="1" ht="15" customHeight="1" x14ac:dyDescent="0.35">
      <c r="A53" s="229"/>
      <c r="B53" s="230"/>
      <c r="C53" s="169" t="s">
        <v>102</v>
      </c>
      <c r="D53" s="169"/>
      <c r="E53" s="169"/>
      <c r="F53" s="169"/>
      <c r="G53" s="216"/>
      <c r="H53" s="216"/>
      <c r="I53" s="216"/>
      <c r="J53" s="216"/>
      <c r="K53" s="216"/>
      <c r="L53" s="216"/>
      <c r="M53" s="217">
        <f>M30</f>
        <v>0</v>
      </c>
      <c r="N53" s="217">
        <f>N30</f>
        <v>1</v>
      </c>
      <c r="O53" s="231"/>
      <c r="P53" s="231"/>
      <c r="Q53" s="231"/>
      <c r="R53" s="123" t="s">
        <v>250</v>
      </c>
      <c r="S53" s="232"/>
      <c r="U53" s="234"/>
    </row>
    <row r="54" spans="1:22" s="18" customFormat="1" ht="15" customHeight="1" x14ac:dyDescent="0.35">
      <c r="B54" s="160"/>
      <c r="C54" s="18" t="str">
        <f>Assumptions!$C$95</f>
        <v>EV/Revenue Exit Multiple</v>
      </c>
      <c r="G54" s="235"/>
      <c r="H54" s="126" t="str">
        <f>Assumptions!$E$95</f>
        <v>x</v>
      </c>
      <c r="I54" s="235"/>
      <c r="J54" s="235"/>
      <c r="K54" s="235"/>
      <c r="L54" s="235"/>
      <c r="M54" s="236">
        <f ca="1">IFERROR($M$48/Financials!M$10,"NA")</f>
        <v>1.2946350234707829</v>
      </c>
      <c r="N54" s="236">
        <f ca="1">IFERROR($M$48/Financials!O$10,"NA")</f>
        <v>1.1441303911649849</v>
      </c>
      <c r="O54" s="236"/>
      <c r="P54" s="236"/>
      <c r="Q54" s="236"/>
      <c r="R54" s="236">
        <f ca="1">IFERROR($R$46/Financials!S10,0)</f>
        <v>0.62201788556774973</v>
      </c>
      <c r="S54" s="228"/>
      <c r="U54" s="237"/>
    </row>
    <row r="55" spans="1:22" ht="15" customHeight="1" x14ac:dyDescent="0.35">
      <c r="B55" s="160"/>
      <c r="C55" s="18" t="str">
        <f>Assumptions!$C$96</f>
        <v>EV/EBITDA Exit Multiple</v>
      </c>
      <c r="G55" s="213"/>
      <c r="H55" s="126" t="str">
        <f>Assumptions!$E$96</f>
        <v>x</v>
      </c>
      <c r="I55" s="213"/>
      <c r="J55" s="213"/>
      <c r="K55" s="213"/>
      <c r="L55" s="213"/>
      <c r="M55" s="236">
        <f ca="1">IFERROR($M$48/Financials!M$18,"NA")</f>
        <v>7.0360599101672978</v>
      </c>
      <c r="N55" s="236">
        <f ca="1">IFERROR($M$48/Financials!O$18,"NA")</f>
        <v>5.8810440667359059</v>
      </c>
      <c r="O55" s="236"/>
      <c r="P55" s="236"/>
      <c r="Q55" s="236"/>
      <c r="R55" s="236">
        <f ca="1">IFERROR($R$46/Financials!S18,0)</f>
        <v>3.545586711033641</v>
      </c>
      <c r="S55" s="228"/>
    </row>
    <row r="56" spans="1:22" ht="15" customHeight="1" x14ac:dyDescent="0.35">
      <c r="B56" s="160"/>
      <c r="C56" s="18" t="str">
        <f>Assumptions!$C$97</f>
        <v>EV/EBIT Exit Multiple</v>
      </c>
      <c r="G56" s="213"/>
      <c r="H56" s="126" t="str">
        <f>Assumptions!$E$97</f>
        <v>x</v>
      </c>
      <c r="I56" s="213"/>
      <c r="J56" s="213"/>
      <c r="K56" s="213"/>
      <c r="L56" s="213"/>
      <c r="M56" s="236">
        <f ca="1">IFERROR($M$48/Financials!M$22,"NA")</f>
        <v>7.8941159967730661</v>
      </c>
      <c r="N56" s="236">
        <f ca="1">IFERROR($M$48/Financials!O$22,"NA")</f>
        <v>8.0845497164436022</v>
      </c>
      <c r="O56" s="236"/>
      <c r="P56" s="236"/>
      <c r="Q56" s="236"/>
      <c r="R56" s="236">
        <f ca="1">IFERROR($R$46/Financials!S22,0)</f>
        <v>4.9474988168501808</v>
      </c>
      <c r="S56" s="228"/>
    </row>
    <row r="57" spans="1:22" ht="15" customHeight="1" x14ac:dyDescent="0.35">
      <c r="B57" s="160"/>
      <c r="C57" s="18" t="str">
        <f>Assumptions!$C$98</f>
        <v>P/E Exit Multiple</v>
      </c>
      <c r="G57" s="213"/>
      <c r="H57" s="126" t="str">
        <f>Assumptions!$E$98</f>
        <v>x</v>
      </c>
      <c r="I57" s="213"/>
      <c r="J57" s="213"/>
      <c r="K57" s="213"/>
      <c r="L57" s="213"/>
      <c r="M57" s="236">
        <f ca="1">IFERROR($M$51/Financials!M$31,"NA")</f>
        <v>8.7350876381665454</v>
      </c>
      <c r="N57" s="236">
        <f ca="1">IFERROR($M$51/Financials!O$31,"NA")</f>
        <v>8.965963061909445</v>
      </c>
      <c r="O57" s="236"/>
      <c r="P57" s="236"/>
      <c r="Q57" s="236"/>
      <c r="R57" s="236">
        <f ca="1">IFERROR(($R$49)/Financials!S31,0)</f>
        <v>9.8560457962147154</v>
      </c>
      <c r="S57" s="228"/>
    </row>
    <row r="58" spans="1:22" ht="15" customHeight="1" x14ac:dyDescent="0.35">
      <c r="B58" s="160"/>
      <c r="C58" s="18" t="str">
        <f>Assumptions!$C$99</f>
        <v>P/B Exit Multiple</v>
      </c>
      <c r="G58" s="213"/>
      <c r="H58" s="126" t="str">
        <f>Assumptions!$E$99</f>
        <v>x</v>
      </c>
      <c r="I58" s="213"/>
      <c r="J58" s="213"/>
      <c r="K58" s="213"/>
      <c r="L58" s="213"/>
      <c r="M58" s="236">
        <f ca="1">IFERROR($M$51/Financials!M$62,"NA")</f>
        <v>3.8433144828438746</v>
      </c>
      <c r="N58" s="236">
        <f ca="1">IFERROR($M$51/Financials!O$62,"NA")</f>
        <v>5.6009955452432685</v>
      </c>
      <c r="O58" s="236"/>
      <c r="P58" s="236"/>
      <c r="Q58" s="236"/>
      <c r="R58" s="236">
        <f ca="1">IFERROR(($R$49)/Financials!S62,0)</f>
        <v>2.3061645821339809</v>
      </c>
      <c r="S58" s="228"/>
    </row>
    <row r="59" spans="1:22" ht="15" customHeight="1" x14ac:dyDescent="0.35">
      <c r="B59" s="190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238"/>
      <c r="O59" s="238"/>
      <c r="P59" s="238"/>
      <c r="Q59" s="238"/>
      <c r="R59" s="238"/>
      <c r="S59" s="239"/>
    </row>
    <row r="60" spans="1:22" ht="15" customHeight="1" x14ac:dyDescent="0.35">
      <c r="N60" s="195"/>
      <c r="O60" s="195"/>
      <c r="P60" s="195"/>
      <c r="Q60" s="195"/>
      <c r="R60" s="195"/>
      <c r="S60" s="195"/>
    </row>
    <row r="61" spans="1:22" ht="15" customHeight="1" x14ac:dyDescent="0.35">
      <c r="N61" s="195"/>
      <c r="O61" s="195"/>
      <c r="P61" s="195"/>
      <c r="Q61" s="195"/>
      <c r="R61" s="195"/>
      <c r="S61" s="195"/>
    </row>
    <row r="62" spans="1:22" ht="15" customHeight="1" x14ac:dyDescent="0.35">
      <c r="N62" s="195"/>
      <c r="O62" s="195"/>
      <c r="P62" s="195"/>
      <c r="Q62" s="195"/>
      <c r="R62" s="195"/>
      <c r="S62" s="195"/>
    </row>
    <row r="63" spans="1:22" ht="15" customHeight="1" x14ac:dyDescent="0.35">
      <c r="C63" s="102" t="e">
        <f>Title!#REF!</f>
        <v>#REF!</v>
      </c>
      <c r="D63" s="102"/>
      <c r="E63" s="102"/>
      <c r="F63" s="102"/>
      <c r="G63" s="9"/>
      <c r="H63" s="9"/>
      <c r="I63" s="9"/>
      <c r="J63" s="9"/>
      <c r="K63" s="9"/>
      <c r="L63" s="9"/>
      <c r="M63" s="9"/>
      <c r="Q63" s="9"/>
    </row>
    <row r="64" spans="1:22" s="18" customFormat="1" ht="15" customHeight="1" x14ac:dyDescent="0.35">
      <c r="C64" s="240" t="e">
        <f>Title!#REF!</f>
        <v>#REF!</v>
      </c>
      <c r="D64" s="240"/>
      <c r="E64" s="240"/>
      <c r="F64" s="240"/>
      <c r="G64" s="241"/>
      <c r="H64" s="241"/>
      <c r="I64" s="241"/>
      <c r="J64" s="241"/>
      <c r="K64" s="241"/>
      <c r="L64" s="241"/>
      <c r="M64" s="241"/>
      <c r="T64" s="137"/>
      <c r="U64" s="141"/>
      <c r="V64" s="137"/>
    </row>
  </sheetData>
  <hyperlinks>
    <hyperlink ref="C64" r:id="rId1" display="www.efinancialmodels.com" xr:uid="{6B91CD37-B355-4441-A42A-4C14D5744CA0}"/>
  </hyperlinks>
  <printOptions horizontalCentered="1"/>
  <pageMargins left="0.5" right="0" top="0.5" bottom="0.5" header="0.3" footer="0.3"/>
  <pageSetup paperSize="9" scale="62" fitToHeight="0" orientation="portrait" r:id="rId2"/>
  <headerFooter>
    <oddFooter>&amp;L&amp;"Calibri,Regular"&amp;K000000Strictly private and confidential&amp;C&amp;"Calibri,Regular"&amp;K000000Page &amp;P of &amp;N&amp;R&amp;"Helvetica,Regular"&amp;12&amp;K000000&amp;F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7E60-1BD4-4CDE-AEA1-C1A057D52BAB}">
  <sheetPr>
    <tabColor rgb="FF258A6E"/>
    <pageSetUpPr fitToPage="1"/>
  </sheetPr>
  <dimension ref="A1:AQ172"/>
  <sheetViews>
    <sheetView showGridLines="0" zoomScale="90" zoomScaleNormal="90" zoomScaleSheetLayoutView="5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defaultColWidth="13" defaultRowHeight="15" customHeight="1" outlineLevelCol="1" x14ac:dyDescent="0.35"/>
  <cols>
    <col min="1" max="1" width="4.58203125" style="18" customWidth="1"/>
    <col min="2" max="2" width="1.58203125" style="18" customWidth="1"/>
    <col min="3" max="10" width="13" style="18" customWidth="1"/>
    <col min="11" max="11" width="19.75" style="18" bestFit="1" customWidth="1"/>
    <col min="12" max="19" width="13" style="18" customWidth="1"/>
    <col min="20" max="20" width="3" style="137" hidden="1" customWidth="1" outlineLevel="1"/>
    <col min="21" max="21" width="13" style="137" hidden="1" customWidth="1" outlineLevel="1"/>
    <col min="22" max="22" width="13" style="137" collapsed="1"/>
    <col min="23" max="44" width="13" style="137"/>
    <col min="45" max="45" width="3" style="137" customWidth="1"/>
    <col min="46" max="16384" width="13" style="137"/>
  </cols>
  <sheetData>
    <row r="1" spans="1:43" s="18" customFormat="1" ht="15" customHeight="1" x14ac:dyDescent="0.35">
      <c r="S1" s="9"/>
    </row>
    <row r="2" spans="1:43" s="9" customFormat="1" ht="15" customHeight="1" x14ac:dyDescent="0.35">
      <c r="B2" s="245" t="str">
        <f>Title!$B$5</f>
        <v xml:space="preserve">DCF Valuation Model </v>
      </c>
      <c r="L2" s="14"/>
      <c r="M2" s="14"/>
      <c r="N2" s="14"/>
      <c r="O2" s="14"/>
      <c r="P2" s="14"/>
      <c r="Q2" s="14"/>
      <c r="S2" s="131"/>
      <c r="U2" s="132" t="s">
        <v>28</v>
      </c>
    </row>
    <row r="3" spans="1:43" s="9" customFormat="1" ht="1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699"/>
      <c r="M3" s="699"/>
      <c r="N3" s="699"/>
      <c r="O3" s="699"/>
      <c r="P3" s="699"/>
      <c r="Q3" s="699"/>
      <c r="R3" s="699"/>
      <c r="S3" s="689"/>
      <c r="U3" s="246">
        <f ca="1">SUM(U5:U846)</f>
        <v>0</v>
      </c>
    </row>
    <row r="4" spans="1:43" s="9" customFormat="1" ht="15" customHeight="1" x14ac:dyDescent="0.35">
      <c r="L4" s="14"/>
      <c r="M4" s="14"/>
      <c r="N4" s="14"/>
      <c r="O4" s="14"/>
      <c r="P4" s="14"/>
      <c r="Q4" s="14"/>
      <c r="R4" s="14"/>
      <c r="S4" s="14"/>
    </row>
    <row r="5" spans="1:43" s="9" customFormat="1" ht="20.399999999999999" x14ac:dyDescent="0.35">
      <c r="C5" s="136" t="s">
        <v>150</v>
      </c>
      <c r="D5" s="136"/>
      <c r="E5" s="136"/>
      <c r="L5" s="14"/>
      <c r="M5" s="14"/>
      <c r="N5" s="14"/>
      <c r="O5" s="14"/>
      <c r="P5" s="14"/>
      <c r="Q5" s="14"/>
      <c r="R5" s="14"/>
      <c r="S5" s="14"/>
    </row>
    <row r="6" spans="1:43" ht="15" customHeight="1" x14ac:dyDescent="0.35">
      <c r="A6" s="137"/>
      <c r="B6" s="137"/>
      <c r="C6" s="247" t="str">
        <f>"All amounts in "&amp;Assumptions!$G$14</f>
        <v>All amounts in USD</v>
      </c>
      <c r="D6" s="247"/>
      <c r="E6" s="247"/>
      <c r="F6" s="139"/>
      <c r="G6" s="139"/>
      <c r="H6" s="139"/>
      <c r="I6" s="139"/>
      <c r="J6" s="19"/>
      <c r="K6" s="19"/>
      <c r="L6" s="19"/>
      <c r="M6" s="19"/>
      <c r="N6" s="19"/>
      <c r="O6" s="19"/>
      <c r="P6" s="19"/>
      <c r="Q6" s="19"/>
      <c r="R6" s="19"/>
      <c r="S6" s="140"/>
    </row>
    <row r="7" spans="1:43" s="13" customFormat="1" ht="15" customHeight="1" x14ac:dyDescent="0.35">
      <c r="A7" s="22">
        <v>1</v>
      </c>
      <c r="B7" s="196"/>
      <c r="C7" s="143" t="str">
        <f>Assumptions!K67</f>
        <v>Capitalized Earnings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97"/>
      <c r="AI7" s="137"/>
      <c r="AJ7" s="137"/>
      <c r="AK7" s="137"/>
      <c r="AL7" s="137"/>
      <c r="AM7" s="137"/>
      <c r="AN7" s="248"/>
      <c r="AO7" s="248"/>
      <c r="AP7" s="248"/>
      <c r="AQ7" s="248"/>
    </row>
    <row r="8" spans="1:43" s="18" customFormat="1" ht="15" customHeight="1" x14ac:dyDescent="0.35">
      <c r="B8" s="160"/>
      <c r="L8" s="237"/>
      <c r="S8" s="162"/>
    </row>
    <row r="9" spans="1:43" ht="15" customHeight="1" x14ac:dyDescent="0.35">
      <c r="A9" s="137"/>
      <c r="B9" s="153"/>
      <c r="C9" s="137"/>
      <c r="D9" s="137"/>
      <c r="E9" s="137"/>
      <c r="F9" s="137"/>
      <c r="G9" s="137"/>
      <c r="H9" s="137"/>
      <c r="K9" s="137"/>
      <c r="L9" s="141"/>
      <c r="M9" s="137"/>
      <c r="N9" s="137"/>
      <c r="O9" s="137"/>
      <c r="P9" s="137"/>
      <c r="Q9" s="137"/>
      <c r="R9" s="137"/>
      <c r="S9" s="159"/>
    </row>
    <row r="10" spans="1:43" ht="15" customHeight="1" x14ac:dyDescent="0.35">
      <c r="A10" s="137"/>
      <c r="B10" s="153"/>
      <c r="C10" s="137"/>
      <c r="D10" s="137"/>
      <c r="E10" s="137"/>
      <c r="F10" s="137"/>
      <c r="G10" s="137"/>
      <c r="H10" s="137"/>
      <c r="K10" s="137"/>
      <c r="L10" s="141"/>
      <c r="M10" s="137"/>
      <c r="N10" s="137"/>
      <c r="O10" s="137"/>
      <c r="P10" s="137"/>
      <c r="Q10" s="137"/>
      <c r="R10" s="137"/>
      <c r="S10" s="159"/>
    </row>
    <row r="11" spans="1:43" ht="15" customHeight="1" x14ac:dyDescent="0.35">
      <c r="A11" s="137"/>
      <c r="B11" s="153"/>
      <c r="C11" s="137"/>
      <c r="D11" s="137"/>
      <c r="E11" s="137"/>
      <c r="F11" s="137"/>
      <c r="G11" s="137"/>
      <c r="H11" s="137"/>
      <c r="K11" s="137"/>
      <c r="L11" s="141"/>
      <c r="M11" s="137"/>
      <c r="N11" s="137"/>
      <c r="O11" s="137"/>
      <c r="P11" s="137"/>
      <c r="Q11" s="137"/>
      <c r="R11" s="137"/>
      <c r="S11" s="159"/>
    </row>
    <row r="12" spans="1:43" ht="15" customHeight="1" x14ac:dyDescent="0.35">
      <c r="A12" s="137"/>
      <c r="B12" s="153"/>
      <c r="C12" s="249" t="str">
        <f>Financials!C22&amp;" (Year "&amp;Financials!S8&amp;")"</f>
        <v>EBIT (Year 5)</v>
      </c>
      <c r="D12" s="249"/>
      <c r="E12" s="249"/>
      <c r="F12" s="249"/>
      <c r="G12" s="250" t="str">
        <f>Assumptions!$G$14</f>
        <v>USD</v>
      </c>
      <c r="H12" s="96">
        <f>Financials!S22</f>
        <v>885187.69736921811</v>
      </c>
      <c r="K12" s="137"/>
      <c r="L12" s="141"/>
      <c r="M12" s="137"/>
      <c r="N12" s="137"/>
      <c r="O12" s="137"/>
      <c r="P12" s="137"/>
      <c r="Q12" s="137"/>
      <c r="R12" s="137"/>
      <c r="S12" s="159"/>
    </row>
    <row r="13" spans="1:43" ht="15" customHeight="1" x14ac:dyDescent="0.35">
      <c r="A13" s="137"/>
      <c r="B13" s="153"/>
      <c r="C13" s="137" t="s">
        <v>159</v>
      </c>
      <c r="D13" s="137"/>
      <c r="E13" s="137"/>
      <c r="F13" s="137"/>
      <c r="G13" s="137" t="s">
        <v>17</v>
      </c>
      <c r="H13" s="251">
        <f>Financials!S145</f>
        <v>0.25</v>
      </c>
      <c r="K13" s="137"/>
      <c r="L13" s="141"/>
      <c r="M13" s="137"/>
      <c r="N13" s="137"/>
      <c r="O13" s="137"/>
      <c r="P13" s="137"/>
      <c r="Q13" s="137"/>
      <c r="R13" s="137"/>
      <c r="S13" s="159"/>
    </row>
    <row r="14" spans="1:43" ht="15" customHeight="1" x14ac:dyDescent="0.35">
      <c r="A14" s="137"/>
      <c r="B14" s="153"/>
      <c r="C14" s="137" t="str">
        <f>Financials!C30</f>
        <v>Income Taxes</v>
      </c>
      <c r="D14" s="137"/>
      <c r="E14" s="137"/>
      <c r="F14" s="137"/>
      <c r="G14" s="204" t="str">
        <f>Assumptions!$G$14</f>
        <v>USD</v>
      </c>
      <c r="H14" s="624">
        <f>-H12*H13</f>
        <v>-221296.92434230453</v>
      </c>
      <c r="K14" s="137"/>
      <c r="L14" s="141"/>
      <c r="M14" s="137"/>
      <c r="N14" s="137"/>
      <c r="O14" s="137"/>
      <c r="P14" s="137"/>
      <c r="Q14" s="137"/>
      <c r="R14" s="137"/>
      <c r="S14" s="159"/>
    </row>
    <row r="15" spans="1:43" ht="15" customHeight="1" x14ac:dyDescent="0.35">
      <c r="A15" s="137"/>
      <c r="B15" s="153"/>
      <c r="C15" s="208" t="s">
        <v>83</v>
      </c>
      <c r="D15" s="208"/>
      <c r="E15" s="208"/>
      <c r="F15" s="208"/>
      <c r="G15" s="209" t="str">
        <f>Assumptions!$G$14</f>
        <v>USD</v>
      </c>
      <c r="H15" s="242">
        <f>H12+H14</f>
        <v>663890.77302691364</v>
      </c>
      <c r="K15" s="137"/>
      <c r="L15" s="141"/>
      <c r="M15" s="137"/>
      <c r="N15" s="137"/>
      <c r="O15" s="137"/>
      <c r="P15" s="137"/>
      <c r="Q15" s="137"/>
      <c r="R15" s="137"/>
      <c r="S15" s="159"/>
    </row>
    <row r="16" spans="1:43" ht="15" customHeight="1" x14ac:dyDescent="0.35">
      <c r="B16" s="160"/>
      <c r="C16" s="137"/>
      <c r="D16" s="137"/>
      <c r="E16" s="137"/>
      <c r="F16" s="183"/>
      <c r="G16" s="137"/>
      <c r="H16" s="137"/>
      <c r="K16" s="137"/>
      <c r="L16" s="141"/>
      <c r="M16" s="137"/>
      <c r="N16" s="137"/>
      <c r="O16" s="137"/>
      <c r="P16" s="137"/>
      <c r="Q16" s="137"/>
      <c r="R16" s="137"/>
      <c r="S16" s="78"/>
    </row>
    <row r="17" spans="1:19" ht="15" customHeight="1" x14ac:dyDescent="0.35">
      <c r="A17" s="137"/>
      <c r="B17" s="153"/>
      <c r="C17" s="137" t="str">
        <f>Assumptions!C60</f>
        <v>Discount Rate (WACC)</v>
      </c>
      <c r="D17" s="137"/>
      <c r="E17" s="137"/>
      <c r="F17" s="252"/>
      <c r="G17" s="252" t="str">
        <f>Assumptions!E60</f>
        <v>%</v>
      </c>
      <c r="H17" s="7">
        <f>Assumptions!G82</f>
        <v>9.9124999999999991E-2</v>
      </c>
      <c r="K17" s="137"/>
      <c r="L17" s="141"/>
      <c r="M17" s="137"/>
      <c r="N17" s="137"/>
      <c r="O17" s="137"/>
      <c r="P17" s="137"/>
      <c r="Q17" s="137"/>
      <c r="R17" s="137"/>
      <c r="S17" s="253"/>
    </row>
    <row r="18" spans="1:19" ht="15" customHeight="1" x14ac:dyDescent="0.35">
      <c r="B18" s="160"/>
      <c r="C18" s="200" t="str">
        <f>"TV "&amp;C7</f>
        <v>TV Capitalized Earnings</v>
      </c>
      <c r="D18" s="200"/>
      <c r="E18" s="200"/>
      <c r="F18" s="226"/>
      <c r="G18" s="201" t="str">
        <f>Assumptions!$G$14</f>
        <v>USD</v>
      </c>
      <c r="H18" s="44">
        <f>MAX(IFERROR(H15/H17,0),0)</f>
        <v>6697510.9510911852</v>
      </c>
      <c r="K18" s="137"/>
      <c r="L18" s="223"/>
      <c r="M18" s="137"/>
      <c r="N18" s="137"/>
      <c r="O18" s="137"/>
      <c r="P18" s="137"/>
      <c r="Q18" s="137"/>
      <c r="R18" s="137"/>
      <c r="S18" s="222"/>
    </row>
    <row r="19" spans="1:19" ht="15" customHeight="1" x14ac:dyDescent="0.35">
      <c r="B19" s="160"/>
      <c r="C19" s="101" t="str">
        <f ca="1">HYPERLINK("#"&amp;CELL("address",$C$138),"=&gt; Compare "&amp;$C$122)</f>
        <v>=&gt; Compare Terminal Value Models</v>
      </c>
      <c r="S19" s="167"/>
    </row>
    <row r="20" spans="1:19" ht="15" customHeight="1" x14ac:dyDescent="0.35">
      <c r="B20" s="190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239"/>
    </row>
    <row r="21" spans="1:19" ht="15" customHeight="1" x14ac:dyDescent="0.35">
      <c r="S21" s="195"/>
    </row>
    <row r="22" spans="1:19" ht="15" customHeight="1" x14ac:dyDescent="0.35">
      <c r="S22" s="195"/>
    </row>
    <row r="23" spans="1:19" ht="15" customHeight="1" x14ac:dyDescent="0.35">
      <c r="C23" s="247" t="str">
        <f>"All amounts in "&amp;Assumptions!$G$14</f>
        <v>All amounts in USD</v>
      </c>
      <c r="D23" s="247"/>
      <c r="E23" s="247"/>
      <c r="K23" s="195"/>
      <c r="L23" s="195"/>
      <c r="M23" s="195"/>
      <c r="N23" s="195"/>
      <c r="O23" s="195"/>
      <c r="P23" s="195"/>
      <c r="Q23" s="195"/>
      <c r="R23" s="195"/>
      <c r="S23" s="195"/>
    </row>
    <row r="24" spans="1:19" s="13" customFormat="1" ht="15" customHeight="1" x14ac:dyDescent="0.35">
      <c r="A24" s="22">
        <f>A7+1</f>
        <v>2</v>
      </c>
      <c r="B24" s="196"/>
      <c r="C24" s="143" t="str">
        <f>Assumptions!K68</f>
        <v>Gordon Growth</v>
      </c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97"/>
    </row>
    <row r="25" spans="1:19" ht="15" customHeight="1" x14ac:dyDescent="0.35">
      <c r="A25" s="137"/>
      <c r="B25" s="153"/>
      <c r="C25" s="137"/>
      <c r="D25" s="137"/>
      <c r="E25" s="137"/>
      <c r="F25" s="137"/>
      <c r="G25" s="137"/>
      <c r="H25" s="137"/>
      <c r="I25" s="137"/>
      <c r="J25" s="137"/>
      <c r="K25" s="137"/>
      <c r="L25" s="141"/>
      <c r="M25" s="137"/>
      <c r="N25" s="137"/>
      <c r="O25" s="137"/>
      <c r="P25" s="137"/>
      <c r="Q25" s="137"/>
      <c r="R25" s="137"/>
      <c r="S25" s="159"/>
    </row>
    <row r="26" spans="1:19" ht="15" customHeight="1" x14ac:dyDescent="0.35">
      <c r="A26" s="137"/>
      <c r="B26" s="153"/>
      <c r="C26" s="137"/>
      <c r="D26" s="137"/>
      <c r="E26" s="137"/>
      <c r="F26" s="137"/>
      <c r="H26" s="137"/>
      <c r="L26" s="141"/>
      <c r="M26" s="137"/>
      <c r="N26" s="137"/>
      <c r="O26" s="137"/>
      <c r="P26" s="137"/>
      <c r="Q26" s="137"/>
      <c r="R26" s="137"/>
      <c r="S26" s="159"/>
    </row>
    <row r="27" spans="1:19" ht="15" customHeight="1" x14ac:dyDescent="0.35">
      <c r="A27" s="137"/>
      <c r="B27" s="153"/>
      <c r="C27" s="137"/>
      <c r="D27" s="137"/>
      <c r="E27" s="137"/>
      <c r="F27" s="137"/>
      <c r="H27" s="137"/>
      <c r="L27" s="141"/>
      <c r="M27" s="137"/>
      <c r="N27" s="137"/>
      <c r="O27" s="137"/>
      <c r="P27" s="137"/>
      <c r="Q27" s="137"/>
      <c r="R27" s="137"/>
      <c r="S27" s="159"/>
    </row>
    <row r="28" spans="1:19" ht="15" customHeight="1" x14ac:dyDescent="0.35">
      <c r="A28" s="137"/>
      <c r="B28" s="153"/>
      <c r="C28" s="137"/>
      <c r="D28" s="137"/>
      <c r="E28" s="137"/>
      <c r="F28" s="137"/>
      <c r="H28" s="137"/>
      <c r="L28" s="141"/>
      <c r="M28" s="137"/>
      <c r="N28" s="137"/>
      <c r="O28" s="137"/>
      <c r="P28" s="137"/>
      <c r="Q28" s="137"/>
      <c r="R28" s="137"/>
      <c r="S28" s="159"/>
    </row>
    <row r="29" spans="1:19" ht="15" customHeight="1" x14ac:dyDescent="0.35">
      <c r="B29" s="160"/>
      <c r="C29" s="18" t="s">
        <v>173</v>
      </c>
      <c r="G29" s="18" t="s">
        <v>8</v>
      </c>
      <c r="H29" s="206"/>
      <c r="K29" s="137"/>
      <c r="L29" s="141"/>
      <c r="M29" s="137"/>
      <c r="N29" s="137"/>
      <c r="O29" s="137"/>
      <c r="P29" s="137"/>
      <c r="Q29" s="137"/>
      <c r="R29" s="137"/>
      <c r="S29" s="162"/>
    </row>
    <row r="30" spans="1:19" ht="15" customHeight="1" x14ac:dyDescent="0.35">
      <c r="B30" s="160"/>
      <c r="C30" s="137" t="s">
        <v>129</v>
      </c>
      <c r="D30" s="137"/>
      <c r="E30" s="137"/>
      <c r="F30" s="137"/>
      <c r="G30" s="137" t="s">
        <v>174</v>
      </c>
      <c r="H30" s="206"/>
      <c r="K30" s="137"/>
      <c r="L30" s="141"/>
      <c r="M30" s="137"/>
      <c r="N30" s="137"/>
      <c r="O30" s="137"/>
      <c r="P30" s="137"/>
      <c r="Q30" s="137"/>
      <c r="R30" s="137"/>
      <c r="S30" s="162"/>
    </row>
    <row r="31" spans="1:19" ht="15" customHeight="1" x14ac:dyDescent="0.35">
      <c r="B31" s="160"/>
      <c r="C31" s="18" t="s">
        <v>160</v>
      </c>
      <c r="G31" s="18" t="s">
        <v>179</v>
      </c>
      <c r="H31" s="206"/>
      <c r="K31" s="137"/>
      <c r="L31" s="141"/>
      <c r="M31" s="137"/>
      <c r="N31" s="137"/>
      <c r="O31" s="137"/>
      <c r="P31" s="137"/>
      <c r="Q31" s="137"/>
      <c r="R31" s="137"/>
      <c r="S31" s="162"/>
    </row>
    <row r="32" spans="1:19" ht="15" customHeight="1" x14ac:dyDescent="0.35">
      <c r="B32" s="160"/>
      <c r="C32" s="137" t="s">
        <v>161</v>
      </c>
      <c r="D32" s="137"/>
      <c r="E32" s="137"/>
      <c r="G32" s="18" t="s">
        <v>181</v>
      </c>
      <c r="H32" s="206"/>
      <c r="K32" s="137"/>
      <c r="L32" s="141"/>
      <c r="M32" s="137"/>
      <c r="N32" s="137"/>
      <c r="O32" s="137"/>
      <c r="P32" s="137"/>
      <c r="Q32" s="137"/>
      <c r="R32" s="137"/>
      <c r="S32" s="162"/>
    </row>
    <row r="33" spans="1:19" ht="15" customHeight="1" x14ac:dyDescent="0.35">
      <c r="B33" s="160"/>
      <c r="C33" s="137"/>
      <c r="D33" s="137"/>
      <c r="E33" s="137"/>
      <c r="H33" s="206"/>
      <c r="K33" s="137"/>
      <c r="L33" s="141"/>
      <c r="M33" s="137"/>
      <c r="N33" s="137"/>
      <c r="O33" s="137"/>
      <c r="P33" s="137"/>
      <c r="Q33" s="137"/>
      <c r="R33" s="137"/>
      <c r="S33" s="162"/>
    </row>
    <row r="34" spans="1:19" ht="15" customHeight="1" x14ac:dyDescent="0.35">
      <c r="A34" s="137"/>
      <c r="B34" s="153"/>
      <c r="C34" s="137" t="str">
        <f>DCF!C$23&amp;" (Year "&amp;Financials!S8&amp;")"</f>
        <v>Free Cash Flow to Firm (Year 5)</v>
      </c>
      <c r="D34" s="137"/>
      <c r="E34" s="137"/>
      <c r="F34" s="183"/>
      <c r="G34" s="204" t="str">
        <f>Assumptions!$G$14</f>
        <v>USD</v>
      </c>
      <c r="H34" s="1">
        <f ca="1">DCF!R$23</f>
        <v>988105.73426885519</v>
      </c>
      <c r="K34" s="137"/>
      <c r="L34" s="141"/>
      <c r="M34" s="137"/>
      <c r="N34" s="137"/>
      <c r="O34" s="137"/>
      <c r="P34" s="137"/>
      <c r="Q34" s="137"/>
      <c r="R34" s="137"/>
      <c r="S34" s="159"/>
    </row>
    <row r="35" spans="1:19" ht="15" customHeight="1" x14ac:dyDescent="0.35">
      <c r="B35" s="160"/>
      <c r="C35" s="18" t="str">
        <f>Assumptions!$C$60</f>
        <v>Discount Rate (WACC)</v>
      </c>
      <c r="F35" s="254"/>
      <c r="G35" s="255" t="str">
        <f>Assumptions!$E$60</f>
        <v>%</v>
      </c>
      <c r="H35" s="256">
        <f>Assumptions!$G$60</f>
        <v>9.9124999999999991E-2</v>
      </c>
      <c r="I35" s="137"/>
      <c r="J35" s="137"/>
      <c r="K35" s="137"/>
      <c r="L35" s="223"/>
      <c r="M35" s="137"/>
      <c r="N35" s="137"/>
      <c r="O35" s="137"/>
      <c r="P35" s="137"/>
      <c r="Q35" s="137"/>
      <c r="R35" s="137"/>
      <c r="S35" s="162"/>
    </row>
    <row r="36" spans="1:19" ht="15" customHeight="1" x14ac:dyDescent="0.35">
      <c r="B36" s="160"/>
      <c r="C36" s="18" t="str">
        <f>Assumptions!$C$86</f>
        <v>Growth Rate</v>
      </c>
      <c r="F36" s="254"/>
      <c r="G36" s="255" t="str">
        <f>Assumptions!$E$82</f>
        <v>%</v>
      </c>
      <c r="H36" s="256">
        <f>Assumptions!$G$86</f>
        <v>2.5000000000000001E-2</v>
      </c>
      <c r="I36" s="137"/>
      <c r="J36" s="137"/>
      <c r="K36" s="137"/>
      <c r="L36" s="223"/>
      <c r="M36" s="137"/>
      <c r="N36" s="137"/>
      <c r="O36" s="137"/>
      <c r="P36" s="137"/>
      <c r="Q36" s="137"/>
      <c r="R36" s="137"/>
      <c r="S36" s="162"/>
    </row>
    <row r="37" spans="1:19" ht="15" customHeight="1" x14ac:dyDescent="0.35">
      <c r="B37" s="160"/>
      <c r="C37" s="200" t="str">
        <f>"TV "&amp;C24</f>
        <v>TV Gordon Growth</v>
      </c>
      <c r="D37" s="200"/>
      <c r="E37" s="200"/>
      <c r="F37" s="226"/>
      <c r="G37" s="201" t="str">
        <f>Assumptions!$G$14</f>
        <v>USD</v>
      </c>
      <c r="H37" s="44">
        <f ca="1">MAX(IFERROR((H$34*(1+$H$36)/($H$35-$H$36)),0),0)</f>
        <v>13663519.4283383</v>
      </c>
      <c r="K37" s="137"/>
      <c r="L37" s="223"/>
      <c r="M37" s="137"/>
      <c r="N37" s="137"/>
      <c r="O37" s="137"/>
      <c r="P37" s="137"/>
      <c r="Q37" s="137"/>
      <c r="R37" s="137"/>
      <c r="S37" s="222"/>
    </row>
    <row r="38" spans="1:19" ht="15" customHeight="1" x14ac:dyDescent="0.35">
      <c r="B38" s="160"/>
      <c r="C38" s="101" t="str">
        <f ca="1">HYPERLINK("#"&amp;CELL("address",$C$138),"=&gt; Compare "&amp;$C$122)</f>
        <v>=&gt; Compare Terminal Value Models</v>
      </c>
      <c r="S38" s="167"/>
    </row>
    <row r="39" spans="1:19" ht="15" customHeight="1" x14ac:dyDescent="0.35">
      <c r="B39" s="190"/>
      <c r="C39" s="193"/>
      <c r="D39" s="193"/>
      <c r="E39" s="193"/>
      <c r="F39" s="193"/>
      <c r="G39" s="193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9"/>
    </row>
    <row r="40" spans="1:19" ht="15" customHeight="1" x14ac:dyDescent="0.35">
      <c r="S40" s="195"/>
    </row>
    <row r="41" spans="1:19" ht="15" customHeight="1" x14ac:dyDescent="0.35">
      <c r="S41" s="195"/>
    </row>
    <row r="42" spans="1:19" ht="15" customHeight="1" x14ac:dyDescent="0.35">
      <c r="C42" s="247" t="str">
        <f>"All amounts in "&amp;Assumptions!$G$14</f>
        <v>All amounts in USD</v>
      </c>
      <c r="D42" s="247"/>
      <c r="E42" s="247"/>
      <c r="J42" s="195"/>
      <c r="K42" s="195"/>
      <c r="L42" s="195"/>
      <c r="M42" s="195"/>
      <c r="N42" s="195"/>
      <c r="O42" s="195"/>
      <c r="P42" s="195"/>
      <c r="Q42" s="195"/>
      <c r="R42" s="195"/>
      <c r="S42" s="195"/>
    </row>
    <row r="43" spans="1:19" s="13" customFormat="1" ht="15" customHeight="1" x14ac:dyDescent="0.35">
      <c r="A43" s="22">
        <f>A24+1</f>
        <v>3</v>
      </c>
      <c r="B43" s="196"/>
      <c r="C43" s="143" t="str">
        <f>Assumptions!K69</f>
        <v>H-Model</v>
      </c>
      <c r="D43" s="143"/>
      <c r="E43" s="143"/>
      <c r="F43" s="143"/>
      <c r="G43" s="143"/>
      <c r="H43" s="143"/>
      <c r="I43" s="143"/>
      <c r="J43" s="143"/>
      <c r="K43" s="143"/>
      <c r="L43" s="143" t="s">
        <v>74</v>
      </c>
      <c r="M43" s="143"/>
      <c r="N43" s="143"/>
      <c r="O43" s="143"/>
      <c r="P43" s="143"/>
      <c r="Q43" s="143"/>
      <c r="R43" s="143"/>
      <c r="S43" s="197"/>
    </row>
    <row r="44" spans="1:19" ht="15" customHeight="1" x14ac:dyDescent="0.35">
      <c r="B44" s="160"/>
      <c r="J44" s="195"/>
      <c r="K44" s="195"/>
      <c r="L44" s="278" t="str">
        <f>F57</f>
        <v>%</v>
      </c>
      <c r="M44" s="195"/>
      <c r="N44" s="195"/>
      <c r="O44" s="195"/>
      <c r="P44" s="195"/>
      <c r="Q44" s="195"/>
      <c r="R44" s="195"/>
      <c r="S44" s="162"/>
    </row>
    <row r="45" spans="1:19" ht="15" customHeight="1" x14ac:dyDescent="0.35">
      <c r="B45" s="160"/>
      <c r="J45" s="195"/>
      <c r="K45" s="195"/>
      <c r="L45" s="195"/>
      <c r="M45" s="195"/>
      <c r="N45" s="195"/>
      <c r="O45" s="195"/>
      <c r="P45" s="195"/>
      <c r="Q45" s="195"/>
      <c r="R45" s="195"/>
      <c r="S45" s="162"/>
    </row>
    <row r="46" spans="1:19" ht="15" customHeight="1" x14ac:dyDescent="0.35">
      <c r="B46" s="160"/>
      <c r="J46" s="195"/>
      <c r="K46" s="195"/>
      <c r="L46" s="195"/>
      <c r="M46" s="195"/>
      <c r="N46" s="195"/>
      <c r="O46" s="195"/>
      <c r="P46" s="195"/>
      <c r="Q46" s="195"/>
      <c r="R46" s="195"/>
      <c r="S46" s="162"/>
    </row>
    <row r="47" spans="1:19" ht="15" customHeight="1" x14ac:dyDescent="0.35">
      <c r="B47" s="160"/>
      <c r="J47" s="195"/>
      <c r="K47" s="195"/>
      <c r="L47" s="195"/>
      <c r="M47" s="195"/>
      <c r="N47" s="195"/>
      <c r="O47" s="195"/>
      <c r="P47" s="195"/>
      <c r="Q47" s="195"/>
      <c r="R47" s="195"/>
      <c r="S47" s="162"/>
    </row>
    <row r="48" spans="1:19" ht="15" customHeight="1" x14ac:dyDescent="0.35">
      <c r="B48" s="160"/>
      <c r="J48" s="195"/>
      <c r="K48" s="195"/>
      <c r="L48" s="195"/>
      <c r="M48" s="195"/>
      <c r="N48" s="195"/>
      <c r="O48" s="195"/>
      <c r="P48" s="195"/>
      <c r="Q48" s="195"/>
      <c r="R48" s="195"/>
      <c r="S48" s="162"/>
    </row>
    <row r="49" spans="2:19" ht="15" customHeight="1" x14ac:dyDescent="0.35">
      <c r="B49" s="160"/>
      <c r="C49" s="18" t="s">
        <v>173</v>
      </c>
      <c r="G49" s="18" t="s">
        <v>8</v>
      </c>
      <c r="J49" s="195"/>
      <c r="K49" s="195"/>
      <c r="L49" s="195"/>
      <c r="M49" s="195"/>
      <c r="N49" s="195"/>
      <c r="O49" s="195"/>
      <c r="P49" s="195"/>
      <c r="Q49" s="195"/>
      <c r="R49" s="195"/>
      <c r="S49" s="162"/>
    </row>
    <row r="50" spans="2:19" ht="15" customHeight="1" x14ac:dyDescent="0.35">
      <c r="B50" s="160"/>
      <c r="C50" s="137" t="s">
        <v>129</v>
      </c>
      <c r="D50" s="137"/>
      <c r="E50" s="137"/>
      <c r="F50" s="137"/>
      <c r="G50" s="137" t="s">
        <v>174</v>
      </c>
      <c r="J50" s="195"/>
      <c r="K50" s="195"/>
      <c r="L50" s="195"/>
      <c r="M50" s="195"/>
      <c r="N50" s="195"/>
      <c r="O50" s="195"/>
      <c r="P50" s="195"/>
      <c r="Q50" s="195"/>
      <c r="R50" s="195"/>
      <c r="S50" s="162"/>
    </row>
    <row r="51" spans="2:19" ht="15" customHeight="1" x14ac:dyDescent="0.35">
      <c r="B51" s="160"/>
      <c r="C51" s="18" t="s">
        <v>178</v>
      </c>
      <c r="G51" s="18" t="s">
        <v>179</v>
      </c>
      <c r="J51" s="195"/>
      <c r="K51" s="195"/>
      <c r="L51" s="195"/>
      <c r="M51" s="195"/>
      <c r="N51" s="195"/>
      <c r="O51" s="195"/>
      <c r="P51" s="195"/>
      <c r="Q51" s="195"/>
      <c r="R51" s="195"/>
      <c r="S51" s="162"/>
    </row>
    <row r="52" spans="2:19" ht="15" customHeight="1" x14ac:dyDescent="0.35">
      <c r="B52" s="160"/>
      <c r="C52" s="18" t="s">
        <v>177</v>
      </c>
      <c r="F52" s="137"/>
      <c r="G52" s="18" t="s">
        <v>180</v>
      </c>
      <c r="J52" s="195"/>
      <c r="K52" s="195"/>
      <c r="L52" s="195"/>
      <c r="M52" s="195"/>
      <c r="N52" s="195"/>
      <c r="O52" s="195"/>
      <c r="P52" s="195"/>
      <c r="Q52" s="195"/>
      <c r="R52" s="195"/>
      <c r="S52" s="162"/>
    </row>
    <row r="53" spans="2:19" ht="15" customHeight="1" x14ac:dyDescent="0.35">
      <c r="B53" s="160"/>
      <c r="C53" s="18" t="s">
        <v>175</v>
      </c>
      <c r="G53" s="18" t="s">
        <v>176</v>
      </c>
      <c r="J53" s="195"/>
      <c r="K53" s="195"/>
      <c r="L53" s="195"/>
      <c r="M53" s="195"/>
      <c r="N53" s="195"/>
      <c r="O53" s="195"/>
      <c r="P53" s="195"/>
      <c r="Q53" s="195"/>
      <c r="R53" s="195"/>
      <c r="S53" s="162"/>
    </row>
    <row r="54" spans="2:19" ht="15" customHeight="1" x14ac:dyDescent="0.35">
      <c r="B54" s="160"/>
      <c r="C54" s="137" t="s">
        <v>161</v>
      </c>
      <c r="D54" s="137"/>
      <c r="E54" s="137"/>
      <c r="G54" s="18" t="s">
        <v>181</v>
      </c>
      <c r="J54" s="195"/>
      <c r="K54" s="195"/>
      <c r="L54" s="195"/>
      <c r="M54" s="195"/>
      <c r="N54" s="195"/>
      <c r="O54" s="195"/>
      <c r="P54" s="195"/>
      <c r="Q54" s="195"/>
      <c r="R54" s="195"/>
      <c r="S54" s="162"/>
    </row>
    <row r="55" spans="2:19" ht="15" customHeight="1" x14ac:dyDescent="0.35">
      <c r="B55" s="160"/>
      <c r="J55" s="195"/>
      <c r="K55" s="195"/>
      <c r="L55" s="195"/>
      <c r="M55" s="195"/>
      <c r="N55" s="195"/>
      <c r="O55" s="195"/>
      <c r="P55" s="195"/>
      <c r="Q55" s="195"/>
      <c r="R55" s="195"/>
      <c r="S55" s="162"/>
    </row>
    <row r="56" spans="2:19" ht="15" customHeight="1" x14ac:dyDescent="0.35">
      <c r="B56" s="160"/>
      <c r="C56" s="18" t="str">
        <f>DCF!C$23&amp;" (Year "&amp;Financials!S$8&amp;")"</f>
        <v>Free Cash Flow to Firm (Year 5)</v>
      </c>
      <c r="F56" s="204" t="str">
        <f>Assumptions!$G$14</f>
        <v>USD</v>
      </c>
      <c r="G56" s="1">
        <f ca="1">DCF!R$23</f>
        <v>988105.73426885519</v>
      </c>
      <c r="L56" s="18" t="str">
        <f>"High Growth Period (Year "&amp;G61&amp;" - "&amp;G62-1&amp;")"</f>
        <v>High Growth Period (Year 6 - 15)</v>
      </c>
      <c r="M56" s="137"/>
      <c r="N56" s="137"/>
      <c r="O56" s="257">
        <f>G58</f>
        <v>0.06</v>
      </c>
      <c r="P56" s="195"/>
      <c r="Q56" s="195"/>
      <c r="R56" s="195"/>
      <c r="S56" s="162"/>
    </row>
    <row r="57" spans="2:19" ht="15" customHeight="1" x14ac:dyDescent="0.35">
      <c r="B57" s="160"/>
      <c r="C57" s="18" t="s">
        <v>22</v>
      </c>
      <c r="F57" s="18" t="str">
        <f>Assumptions!L94</f>
        <v>%</v>
      </c>
      <c r="G57" s="256">
        <f>Assumptions!M94</f>
        <v>9.9124999999999991E-2</v>
      </c>
      <c r="L57" s="18" t="str">
        <f>"Low Growth Period (Year "&amp;G62&amp;" - Infinity)"</f>
        <v>Low Growth Period (Year 16 - Infinity)</v>
      </c>
      <c r="M57" s="137"/>
      <c r="N57" s="137"/>
      <c r="O57" s="257">
        <f>G59</f>
        <v>0.03</v>
      </c>
      <c r="P57" s="195"/>
      <c r="Q57" s="195"/>
      <c r="R57" s="195"/>
      <c r="S57" s="162"/>
    </row>
    <row r="58" spans="2:19" ht="15" customHeight="1" x14ac:dyDescent="0.35">
      <c r="B58" s="160"/>
      <c r="C58" s="18" t="str">
        <f>Assumptions!C89</f>
        <v>High Growth</v>
      </c>
      <c r="F58" s="18" t="str">
        <f>Assumptions!E89</f>
        <v>%</v>
      </c>
      <c r="G58" s="256">
        <f>Assumptions!G89</f>
        <v>0.06</v>
      </c>
      <c r="L58" s="195"/>
      <c r="M58" s="195"/>
      <c r="N58" s="195"/>
      <c r="O58" s="195"/>
      <c r="P58" s="195"/>
      <c r="Q58" s="195"/>
      <c r="R58" s="195"/>
      <c r="S58" s="162"/>
    </row>
    <row r="59" spans="2:19" ht="15" customHeight="1" x14ac:dyDescent="0.35">
      <c r="B59" s="160"/>
      <c r="C59" s="18" t="str">
        <f>Assumptions!C90</f>
        <v>Low Growth</v>
      </c>
      <c r="F59" s="18" t="str">
        <f>Assumptions!E90</f>
        <v>%</v>
      </c>
      <c r="G59" s="256">
        <f>Assumptions!G90</f>
        <v>0.03</v>
      </c>
      <c r="H59" s="137"/>
      <c r="L59" s="195"/>
      <c r="M59" s="195"/>
      <c r="N59" s="195"/>
      <c r="O59" s="195"/>
      <c r="P59" s="195"/>
      <c r="Q59" s="195"/>
      <c r="R59" s="195"/>
      <c r="S59" s="162"/>
    </row>
    <row r="60" spans="2:19" ht="15" customHeight="1" x14ac:dyDescent="0.35">
      <c r="B60" s="160"/>
      <c r="C60" s="18" t="str">
        <f>Assumptions!C91</f>
        <v>Period of High Growth</v>
      </c>
      <c r="F60" s="18" t="str">
        <f>Assumptions!E91</f>
        <v>Years</v>
      </c>
      <c r="G60" s="258">
        <f>Assumptions!G91</f>
        <v>10</v>
      </c>
      <c r="H60" s="137"/>
      <c r="L60" s="137"/>
      <c r="M60" s="137"/>
      <c r="N60" s="137"/>
      <c r="O60" s="137"/>
      <c r="P60" s="137"/>
      <c r="Q60" s="195"/>
      <c r="R60" s="195"/>
      <c r="S60" s="162"/>
    </row>
    <row r="61" spans="2:19" ht="15" customHeight="1" x14ac:dyDescent="0.35">
      <c r="B61" s="160"/>
      <c r="C61" s="18" t="s">
        <v>168</v>
      </c>
      <c r="F61" s="137" t="s">
        <v>46</v>
      </c>
      <c r="G61" s="259">
        <f>'Two Stage Value Driver Model'!$R$8+1</f>
        <v>6</v>
      </c>
      <c r="H61" s="137"/>
      <c r="L61" s="137"/>
      <c r="M61" s="137"/>
      <c r="N61" s="137"/>
      <c r="O61" s="137"/>
      <c r="P61" s="137"/>
      <c r="Q61" s="195"/>
      <c r="R61" s="195"/>
      <c r="S61" s="162"/>
    </row>
    <row r="62" spans="2:19" ht="15" customHeight="1" x14ac:dyDescent="0.35">
      <c r="B62" s="160"/>
      <c r="C62" s="18" t="s">
        <v>169</v>
      </c>
      <c r="F62" s="137" t="s">
        <v>46</v>
      </c>
      <c r="G62" s="259">
        <f>G61+G60</f>
        <v>16</v>
      </c>
      <c r="H62" s="137"/>
      <c r="L62" s="137"/>
      <c r="M62" s="137"/>
      <c r="N62" s="137"/>
      <c r="O62" s="137"/>
      <c r="P62" s="137"/>
      <c r="Q62" s="195"/>
      <c r="R62" s="195"/>
      <c r="S62" s="162"/>
    </row>
    <row r="63" spans="2:19" ht="15" customHeight="1" x14ac:dyDescent="0.35">
      <c r="B63" s="160"/>
      <c r="C63" s="137"/>
      <c r="D63" s="137"/>
      <c r="E63" s="137"/>
      <c r="G63" s="137"/>
      <c r="H63" s="137"/>
      <c r="L63" s="137"/>
      <c r="M63" s="137"/>
      <c r="N63" s="137"/>
      <c r="O63" s="137"/>
      <c r="P63" s="137"/>
      <c r="Q63" s="195"/>
      <c r="R63" s="195"/>
      <c r="S63" s="162"/>
    </row>
    <row r="64" spans="2:19" ht="15" customHeight="1" x14ac:dyDescent="0.35">
      <c r="B64" s="160"/>
      <c r="C64" s="200" t="str">
        <f>"TV "&amp;C43</f>
        <v>TV H-Model</v>
      </c>
      <c r="D64" s="200"/>
      <c r="E64" s="200"/>
      <c r="F64" s="260"/>
      <c r="G64" s="660">
        <f ca="1">(((G56*(1+G59))+(G56*(G60/2)*(G58-G59))))/(G57-G59)</f>
        <v>16867483.058766715</v>
      </c>
      <c r="H64" s="137"/>
      <c r="L64" s="137"/>
      <c r="M64" s="137"/>
      <c r="N64" s="137"/>
      <c r="O64" s="137"/>
      <c r="P64" s="137"/>
      <c r="Q64" s="195"/>
      <c r="R64" s="195"/>
      <c r="S64" s="162"/>
    </row>
    <row r="65" spans="1:21" ht="15" customHeight="1" x14ac:dyDescent="0.35">
      <c r="B65" s="160"/>
      <c r="C65" s="101" t="str">
        <f ca="1">HYPERLINK("#"&amp;CELL("address",$C$138),"=&gt; Compare "&amp;$C$122)</f>
        <v>=&gt; Compare Terminal Value Models</v>
      </c>
      <c r="S65" s="167"/>
    </row>
    <row r="66" spans="1:21" ht="15" customHeight="1" x14ac:dyDescent="0.35">
      <c r="B66" s="190"/>
      <c r="C66" s="193"/>
      <c r="D66" s="193"/>
      <c r="E66" s="193"/>
      <c r="F66" s="193"/>
      <c r="G66" s="261"/>
      <c r="H66" s="193"/>
      <c r="I66" s="193"/>
      <c r="J66" s="262"/>
      <c r="K66" s="262"/>
      <c r="L66" s="262"/>
      <c r="M66" s="262"/>
      <c r="N66" s="262"/>
      <c r="O66" s="262"/>
      <c r="P66" s="262"/>
      <c r="Q66" s="238"/>
      <c r="R66" s="238"/>
      <c r="S66" s="239"/>
    </row>
    <row r="67" spans="1:21" ht="15" customHeight="1" x14ac:dyDescent="0.35">
      <c r="G67" s="263"/>
      <c r="J67" s="137"/>
      <c r="K67" s="137"/>
      <c r="L67" s="137"/>
      <c r="M67" s="137"/>
      <c r="N67" s="137"/>
      <c r="O67" s="137"/>
      <c r="P67" s="137"/>
      <c r="Q67" s="195"/>
      <c r="R67" s="195"/>
      <c r="S67" s="195"/>
    </row>
    <row r="68" spans="1:21" ht="15" customHeight="1" x14ac:dyDescent="0.35">
      <c r="G68" s="137"/>
      <c r="J68" s="195"/>
      <c r="K68" s="195"/>
      <c r="L68" s="195"/>
      <c r="M68" s="195"/>
      <c r="N68" s="195"/>
      <c r="O68" s="195"/>
      <c r="P68" s="195"/>
      <c r="Q68" s="195"/>
      <c r="R68" s="195"/>
      <c r="S68" s="195"/>
    </row>
    <row r="69" spans="1:21" ht="15" customHeight="1" x14ac:dyDescent="0.35">
      <c r="A69" s="137"/>
      <c r="B69" s="137"/>
      <c r="C69" s="247" t="str">
        <f>"All amounts in "&amp;Assumptions!$G$14</f>
        <v>All amounts in USD</v>
      </c>
      <c r="D69" s="247"/>
      <c r="E69" s="247"/>
      <c r="F69" s="139"/>
      <c r="G69" s="139"/>
      <c r="H69" s="139"/>
      <c r="I69" s="139"/>
      <c r="J69" s="19"/>
      <c r="K69" s="19"/>
      <c r="L69" s="19"/>
      <c r="M69" s="19"/>
      <c r="N69" s="19"/>
      <c r="O69" s="19"/>
      <c r="P69" s="19"/>
      <c r="Q69" s="19"/>
      <c r="R69" s="19"/>
      <c r="S69" s="140"/>
    </row>
    <row r="70" spans="1:21" s="13" customFormat="1" ht="15" customHeight="1" x14ac:dyDescent="0.35">
      <c r="A70" s="22">
        <f>A43+1</f>
        <v>4</v>
      </c>
      <c r="B70" s="196"/>
      <c r="C70" s="143" t="s">
        <v>240</v>
      </c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97"/>
    </row>
    <row r="71" spans="1:21" ht="15" customHeight="1" x14ac:dyDescent="0.35">
      <c r="A71" s="137"/>
      <c r="B71" s="153"/>
      <c r="C71" s="137"/>
      <c r="D71" s="137"/>
      <c r="E71" s="137"/>
      <c r="F71" s="137"/>
      <c r="G71" s="137"/>
      <c r="H71" s="137"/>
      <c r="I71" s="137"/>
      <c r="J71" s="199"/>
      <c r="K71" s="199"/>
      <c r="L71" s="199"/>
      <c r="M71" s="199"/>
      <c r="N71" s="199"/>
      <c r="O71" s="199"/>
      <c r="P71" s="199"/>
      <c r="Q71" s="199"/>
      <c r="R71" s="199"/>
      <c r="S71" s="159"/>
    </row>
    <row r="72" spans="1:21" s="139" customFormat="1" ht="15" customHeight="1" x14ac:dyDescent="0.35">
      <c r="B72" s="185"/>
      <c r="C72" s="264" t="s">
        <v>163</v>
      </c>
      <c r="D72" s="264"/>
      <c r="E72" s="264"/>
      <c r="F72" s="265"/>
      <c r="G72" s="265"/>
      <c r="H72" s="265"/>
      <c r="I72" s="265" t="s">
        <v>99</v>
      </c>
      <c r="J72" s="266"/>
      <c r="K72" s="267" t="str">
        <f>"Fundamentals (Year "&amp;Financials!S$8&amp;")"</f>
        <v>Fundamentals (Year 5)</v>
      </c>
      <c r="L72" s="266"/>
      <c r="M72" s="268"/>
      <c r="N72" s="266"/>
      <c r="O72" s="266" t="s">
        <v>8</v>
      </c>
      <c r="P72" s="266" t="s">
        <v>225</v>
      </c>
      <c r="Q72" s="269" t="s">
        <v>94</v>
      </c>
      <c r="R72" s="267" t="s">
        <v>239</v>
      </c>
      <c r="S72" s="228"/>
    </row>
    <row r="73" spans="1:21" ht="15" customHeight="1" x14ac:dyDescent="0.35">
      <c r="A73" s="137"/>
      <c r="B73" s="160"/>
      <c r="C73" s="13"/>
      <c r="D73" s="13"/>
      <c r="E73" s="13"/>
      <c r="G73" s="13"/>
      <c r="H73" s="13"/>
      <c r="J73" s="195"/>
      <c r="K73" s="195"/>
      <c r="L73" s="195"/>
      <c r="M73" s="195"/>
      <c r="N73" s="195"/>
      <c r="O73" s="195"/>
      <c r="P73" s="195"/>
      <c r="R73" s="195"/>
      <c r="S73" s="162"/>
    </row>
    <row r="74" spans="1:21" ht="15" customHeight="1" x14ac:dyDescent="0.35">
      <c r="A74" s="137"/>
      <c r="B74" s="160"/>
      <c r="C74" s="270" t="str">
        <f>Assumptions!C95</f>
        <v>EV/Revenue Exit Multiple</v>
      </c>
      <c r="D74" s="270"/>
      <c r="E74" s="270"/>
      <c r="F74" s="254"/>
      <c r="G74" s="255" t="s">
        <v>14</v>
      </c>
      <c r="H74" s="255"/>
      <c r="I74" s="271">
        <f>Assumptions!G95</f>
        <v>2.5</v>
      </c>
      <c r="K74" s="18" t="str">
        <f>Financials!C10</f>
        <v>Revenue</v>
      </c>
      <c r="L74" s="126" t="str">
        <f>Assumptions!$G$14</f>
        <v>USD</v>
      </c>
      <c r="M74" s="67">
        <f>Financials!S10</f>
        <v>7040738.1958593763</v>
      </c>
      <c r="O74" s="272">
        <f>I74*M74</f>
        <v>17601845.489648439</v>
      </c>
      <c r="P74" s="620">
        <f>-Financials!S150</f>
        <v>-500000</v>
      </c>
      <c r="Q74" s="620">
        <f ca="1">-Financials!S151</f>
        <v>2543752.2190717403</v>
      </c>
      <c r="R74" s="621">
        <f ca="1">SUM(O74:Q74)</f>
        <v>19645597.708720177</v>
      </c>
      <c r="S74" s="162"/>
      <c r="U74" s="273">
        <f ca="1">SUM(O74:Q74)-R74</f>
        <v>0</v>
      </c>
    </row>
    <row r="75" spans="1:21" ht="15" customHeight="1" x14ac:dyDescent="0.35">
      <c r="A75" s="137"/>
      <c r="B75" s="160"/>
      <c r="C75" s="270" t="str">
        <f>Assumptions!C96</f>
        <v>EV/EBITDA Exit Multiple</v>
      </c>
      <c r="D75" s="270"/>
      <c r="E75" s="270"/>
      <c r="F75" s="254"/>
      <c r="G75" s="255" t="s">
        <v>14</v>
      </c>
      <c r="H75" s="255"/>
      <c r="I75" s="271">
        <f>Assumptions!G96</f>
        <v>6</v>
      </c>
      <c r="K75" s="18" t="str">
        <f>Financials!C18</f>
        <v>EBITDA</v>
      </c>
      <c r="L75" s="126" t="str">
        <f>Assumptions!$G$14</f>
        <v>USD</v>
      </c>
      <c r="M75" s="67">
        <f>Financials!S18</f>
        <v>1235187.6973692181</v>
      </c>
      <c r="O75" s="272">
        <f>I75*M75</f>
        <v>7411126.1842153091</v>
      </c>
      <c r="P75" s="622">
        <f t="shared" ref="P75:Q78" si="0">P74</f>
        <v>-500000</v>
      </c>
      <c r="Q75" s="622">
        <f t="shared" ca="1" si="0"/>
        <v>2543752.2190717403</v>
      </c>
      <c r="R75" s="621">
        <f ca="1">SUM(O75:Q75)</f>
        <v>9454878.4032870494</v>
      </c>
      <c r="S75" s="162"/>
      <c r="U75" s="273">
        <f ca="1">SUM(O75:Q75)-R75</f>
        <v>0</v>
      </c>
    </row>
    <row r="76" spans="1:21" ht="15" customHeight="1" x14ac:dyDescent="0.35">
      <c r="A76" s="137"/>
      <c r="B76" s="160"/>
      <c r="C76" s="270" t="str">
        <f>Assumptions!C97</f>
        <v>EV/EBIT Exit Multiple</v>
      </c>
      <c r="D76" s="270"/>
      <c r="E76" s="270"/>
      <c r="F76" s="254"/>
      <c r="G76" s="255" t="s">
        <v>14</v>
      </c>
      <c r="H76" s="255"/>
      <c r="I76" s="271">
        <f>Assumptions!G97</f>
        <v>7</v>
      </c>
      <c r="K76" s="18" t="str">
        <f>Financials!C22</f>
        <v>EBIT</v>
      </c>
      <c r="L76" s="126" t="str">
        <f>Assumptions!$G$14</f>
        <v>USD</v>
      </c>
      <c r="M76" s="67">
        <f>Financials!S22</f>
        <v>885187.69736921811</v>
      </c>
      <c r="O76" s="272">
        <f>I76*M76</f>
        <v>6196313.881584527</v>
      </c>
      <c r="P76" s="622">
        <f t="shared" si="0"/>
        <v>-500000</v>
      </c>
      <c r="Q76" s="622">
        <f t="shared" ca="1" si="0"/>
        <v>2543752.2190717403</v>
      </c>
      <c r="R76" s="621">
        <f ca="1">SUM(O76:Q76)</f>
        <v>8240066.1006562673</v>
      </c>
      <c r="S76" s="162"/>
      <c r="U76" s="273">
        <f ca="1">SUM(O76:Q76)-R76</f>
        <v>0</v>
      </c>
    </row>
    <row r="77" spans="1:21" ht="15" customHeight="1" x14ac:dyDescent="0.35">
      <c r="A77" s="137"/>
      <c r="B77" s="160"/>
      <c r="C77" s="270" t="str">
        <f>Assumptions!C98</f>
        <v>P/E Exit Multiple</v>
      </c>
      <c r="D77" s="270"/>
      <c r="E77" s="270"/>
      <c r="F77" s="254"/>
      <c r="G77" s="255" t="s">
        <v>14</v>
      </c>
      <c r="H77" s="255"/>
      <c r="I77" s="271">
        <f>Assumptions!G98</f>
        <v>5</v>
      </c>
      <c r="K77" s="18" t="str">
        <f>Financials!C31</f>
        <v>Net Income/Loss</v>
      </c>
      <c r="L77" s="126" t="str">
        <f>Assumptions!$G$14</f>
        <v>USD</v>
      </c>
      <c r="M77" s="67">
        <f>Financials!S31</f>
        <v>651703.27302691364</v>
      </c>
      <c r="O77" s="623">
        <f ca="1">R77-Q77-P77</f>
        <v>1214764.1460628277</v>
      </c>
      <c r="P77" s="622">
        <f t="shared" si="0"/>
        <v>-500000</v>
      </c>
      <c r="Q77" s="622">
        <f t="shared" ca="1" si="0"/>
        <v>2543752.2190717403</v>
      </c>
      <c r="R77" s="272">
        <f>I77*M77</f>
        <v>3258516.365134568</v>
      </c>
      <c r="S77" s="162"/>
      <c r="U77" s="273">
        <f ca="1">SUM(O77:Q77)-R77</f>
        <v>0</v>
      </c>
    </row>
    <row r="78" spans="1:21" ht="15" customHeight="1" x14ac:dyDescent="0.35">
      <c r="A78" s="137"/>
      <c r="B78" s="160"/>
      <c r="C78" s="270" t="str">
        <f>Assumptions!C99</f>
        <v>P/B Exit Multiple</v>
      </c>
      <c r="D78" s="270"/>
      <c r="E78" s="270"/>
      <c r="F78" s="254"/>
      <c r="G78" s="255" t="s">
        <v>14</v>
      </c>
      <c r="H78" s="255"/>
      <c r="I78" s="271">
        <f>Assumptions!G99</f>
        <v>2</v>
      </c>
      <c r="K78" s="18" t="str">
        <f>Financials!C62</f>
        <v>Shareholder's Equity</v>
      </c>
      <c r="L78" s="126" t="str">
        <f>Assumptions!$G$14</f>
        <v>USD</v>
      </c>
      <c r="M78" s="67">
        <f ca="1">Financials!S62</f>
        <v>2785238.0329909665</v>
      </c>
      <c r="O78" s="623">
        <f ca="1">R78-Q78-P78</f>
        <v>3526723.8469101926</v>
      </c>
      <c r="P78" s="622">
        <f t="shared" si="0"/>
        <v>-500000</v>
      </c>
      <c r="Q78" s="622">
        <f t="shared" ca="1" si="0"/>
        <v>2543752.2190717403</v>
      </c>
      <c r="R78" s="272">
        <f ca="1">I78*M78</f>
        <v>5570476.0659819329</v>
      </c>
      <c r="S78" s="162"/>
      <c r="U78" s="273">
        <f ca="1">SUM(O78:Q78)-R78</f>
        <v>0</v>
      </c>
    </row>
    <row r="79" spans="1:21" ht="15" customHeight="1" x14ac:dyDescent="0.35">
      <c r="B79" s="160"/>
      <c r="C79" s="639" t="str">
        <f ca="1">HYPERLINK("#"&amp;CELL("address",$C$138),"=&gt; Compare "&amp;$C$122)</f>
        <v>=&gt; Compare Terminal Value Models</v>
      </c>
      <c r="S79" s="167"/>
    </row>
    <row r="80" spans="1:21" ht="15" customHeight="1" x14ac:dyDescent="0.35">
      <c r="B80" s="190"/>
      <c r="C80" s="193"/>
      <c r="D80" s="193"/>
      <c r="E80" s="193"/>
      <c r="F80" s="193"/>
      <c r="G80" s="193"/>
      <c r="H80" s="193"/>
      <c r="I80" s="193"/>
      <c r="J80" s="238"/>
      <c r="K80" s="238"/>
      <c r="L80" s="238"/>
      <c r="M80" s="238"/>
      <c r="N80" s="238"/>
      <c r="O80" s="238"/>
      <c r="P80" s="238"/>
      <c r="Q80" s="238"/>
      <c r="R80" s="238"/>
      <c r="S80" s="239"/>
    </row>
    <row r="81" spans="1:19" ht="15" customHeight="1" x14ac:dyDescent="0.35">
      <c r="J81" s="195"/>
      <c r="K81" s="195"/>
      <c r="L81" s="195"/>
      <c r="M81" s="195"/>
      <c r="N81" s="195"/>
      <c r="O81" s="195"/>
      <c r="P81" s="195"/>
      <c r="Q81" s="195"/>
      <c r="R81" s="195"/>
      <c r="S81" s="195"/>
    </row>
    <row r="82" spans="1:19" ht="15" customHeight="1" x14ac:dyDescent="0.35">
      <c r="J82" s="195"/>
      <c r="K82" s="195"/>
      <c r="L82" s="195"/>
      <c r="M82" s="195"/>
      <c r="N82" s="195"/>
      <c r="O82" s="195"/>
      <c r="P82" s="195"/>
      <c r="Q82" s="195"/>
      <c r="R82" s="195"/>
      <c r="S82" s="195"/>
    </row>
    <row r="83" spans="1:19" ht="15" customHeight="1" x14ac:dyDescent="0.35">
      <c r="C83" s="247" t="str">
        <f>"All amounts in "&amp;Assumptions!$G$14</f>
        <v>All amounts in USD</v>
      </c>
      <c r="D83" s="247"/>
      <c r="E83" s="247"/>
      <c r="J83" s="195"/>
      <c r="K83" s="195"/>
      <c r="L83" s="195"/>
      <c r="M83" s="195"/>
      <c r="N83" s="195"/>
      <c r="O83" s="195"/>
      <c r="P83" s="195"/>
      <c r="Q83" s="195"/>
      <c r="R83" s="195"/>
      <c r="S83" s="195"/>
    </row>
    <row r="84" spans="1:19" s="13" customFormat="1" ht="15" customHeight="1" x14ac:dyDescent="0.35">
      <c r="A84" s="22">
        <f>A70+1</f>
        <v>5</v>
      </c>
      <c r="B84" s="196"/>
      <c r="C84" s="143" t="str">
        <f>Assumptions!K75</f>
        <v>One Stage Value Driver</v>
      </c>
      <c r="D84" s="143"/>
      <c r="E84" s="143"/>
      <c r="F84" s="143"/>
      <c r="G84" s="143"/>
      <c r="H84" s="143"/>
      <c r="I84" s="143"/>
      <c r="J84" s="143"/>
      <c r="K84" s="143"/>
      <c r="L84" s="143" t="s">
        <v>280</v>
      </c>
      <c r="M84" s="143"/>
      <c r="N84" s="143"/>
      <c r="O84" s="143"/>
      <c r="P84" s="143"/>
      <c r="Q84" s="143"/>
      <c r="R84" s="143"/>
      <c r="S84" s="197"/>
    </row>
    <row r="85" spans="1:19" ht="15" customHeight="1" x14ac:dyDescent="0.35">
      <c r="A85" s="137"/>
      <c r="B85" s="153"/>
      <c r="C85" s="670"/>
      <c r="D85" s="137"/>
      <c r="E85" s="137"/>
      <c r="F85" s="137"/>
      <c r="G85" s="137"/>
      <c r="H85" s="137"/>
      <c r="I85" s="137"/>
      <c r="J85" s="199"/>
      <c r="K85" s="199"/>
      <c r="L85" s="199"/>
      <c r="M85" s="137"/>
      <c r="N85" s="137"/>
      <c r="O85" s="137"/>
      <c r="P85" s="137"/>
      <c r="Q85" s="137"/>
      <c r="R85" s="137"/>
      <c r="S85" s="159"/>
    </row>
    <row r="86" spans="1:19" ht="15" customHeight="1" x14ac:dyDescent="0.35">
      <c r="A86" s="137"/>
      <c r="B86" s="153"/>
      <c r="C86" s="137"/>
      <c r="D86" s="137"/>
      <c r="E86" s="137"/>
      <c r="F86" s="137"/>
      <c r="G86" s="137"/>
      <c r="H86" s="137"/>
      <c r="I86" s="137"/>
      <c r="J86" s="199"/>
      <c r="K86" s="199"/>
      <c r="L86" s="647" t="str">
        <f>C96&amp;" %"</f>
        <v>ROIC %</v>
      </c>
      <c r="M86" s="274"/>
      <c r="N86" s="274"/>
      <c r="O86" s="274"/>
      <c r="P86" s="274"/>
      <c r="Q86" s="21"/>
      <c r="S86" s="648" t="str">
        <f>C97&amp;" %"</f>
        <v>WACC %</v>
      </c>
    </row>
    <row r="87" spans="1:19" ht="15" customHeight="1" x14ac:dyDescent="0.35">
      <c r="A87" s="137"/>
      <c r="B87" s="153"/>
      <c r="C87"/>
      <c r="D87" s="137"/>
      <c r="E87" s="137"/>
      <c r="F87" s="137"/>
      <c r="G87" s="137"/>
      <c r="H87" s="137"/>
      <c r="I87" s="137"/>
      <c r="J87" s="199"/>
      <c r="K87" s="199"/>
      <c r="L87" s="199"/>
      <c r="M87" s="275" t="s">
        <v>46</v>
      </c>
      <c r="N87" s="276" t="str">
        <f>Financials!C134</f>
        <v>ROIC</v>
      </c>
      <c r="O87" s="276" t="s">
        <v>161</v>
      </c>
      <c r="P87" s="277" t="s">
        <v>182</v>
      </c>
      <c r="Q87" s="199"/>
      <c r="R87" s="199"/>
      <c r="S87" s="159"/>
    </row>
    <row r="88" spans="1:19" ht="15" customHeight="1" x14ac:dyDescent="0.35">
      <c r="A88" s="137"/>
      <c r="B88" s="153"/>
      <c r="C88"/>
      <c r="D88" s="137"/>
      <c r="E88" s="137"/>
      <c r="F88" s="137"/>
      <c r="G88" s="137"/>
      <c r="H88" s="137"/>
      <c r="I88" s="137"/>
      <c r="J88" s="199"/>
      <c r="K88" s="199"/>
      <c r="L88" s="199"/>
      <c r="M88" s="278"/>
      <c r="N88" s="279"/>
      <c r="O88" s="279"/>
      <c r="P88" s="280"/>
      <c r="Q88" s="199"/>
      <c r="R88" s="199"/>
      <c r="S88" s="159"/>
    </row>
    <row r="89" spans="1:19" ht="15" customHeight="1" x14ac:dyDescent="0.35">
      <c r="A89" s="137"/>
      <c r="B89" s="153"/>
      <c r="C89" s="137"/>
      <c r="D89" s="137"/>
      <c r="E89" s="137"/>
      <c r="F89" s="137"/>
      <c r="G89" s="137"/>
      <c r="H89" s="137"/>
      <c r="I89" s="137"/>
      <c r="J89" s="199"/>
      <c r="K89" s="199"/>
      <c r="L89" s="199"/>
      <c r="M89" s="21"/>
      <c r="N89" s="281" t="s">
        <v>17</v>
      </c>
      <c r="O89" s="281" t="s">
        <v>17</v>
      </c>
      <c r="P89" s="281" t="s">
        <v>17</v>
      </c>
      <c r="Q89" s="199"/>
      <c r="R89" s="199"/>
      <c r="S89" s="159"/>
    </row>
    <row r="90" spans="1:19" ht="15" customHeight="1" x14ac:dyDescent="0.35">
      <c r="A90" s="137"/>
      <c r="B90" s="153"/>
      <c r="C90" s="137"/>
      <c r="D90" s="137"/>
      <c r="E90" s="137"/>
      <c r="F90" s="137"/>
      <c r="G90" s="137"/>
      <c r="H90" s="137"/>
      <c r="I90" s="137"/>
      <c r="J90" s="199"/>
      <c r="K90" s="199"/>
      <c r="L90" s="199"/>
      <c r="Q90" s="199"/>
      <c r="R90" s="199"/>
      <c r="S90" s="159"/>
    </row>
    <row r="91" spans="1:19" ht="15" customHeight="1" x14ac:dyDescent="0.35">
      <c r="A91" s="137"/>
      <c r="B91" s="153"/>
      <c r="C91" s="137"/>
      <c r="D91" s="137"/>
      <c r="E91" s="137"/>
      <c r="F91" s="137"/>
      <c r="G91" s="137"/>
      <c r="H91" s="137"/>
      <c r="I91" s="137"/>
      <c r="J91" s="199"/>
      <c r="K91" s="199"/>
      <c r="L91" s="199"/>
      <c r="M91" s="282">
        <f>Financials!O8</f>
        <v>1</v>
      </c>
      <c r="N91" s="248">
        <f ca="1">Financials!O134</f>
        <v>0.28761379679436305</v>
      </c>
      <c r="O91" s="283">
        <f t="shared" ref="O91:O96" si="1">$G$100</f>
        <v>9.9124999999999991E-2</v>
      </c>
      <c r="P91" s="283">
        <f t="shared" ref="P91:P96" ca="1" si="2">N91-O91</f>
        <v>0.18848879679436306</v>
      </c>
      <c r="Q91" s="199"/>
      <c r="R91" s="199"/>
      <c r="S91" s="159"/>
    </row>
    <row r="92" spans="1:19" ht="15.95" customHeight="1" x14ac:dyDescent="0.35">
      <c r="A92" s="137"/>
      <c r="B92" s="153"/>
      <c r="C92" s="137" t="s">
        <v>91</v>
      </c>
      <c r="D92" s="137"/>
      <c r="E92" s="137"/>
      <c r="F92" s="137"/>
      <c r="G92" s="137" t="s">
        <v>281</v>
      </c>
      <c r="H92" s="137"/>
      <c r="I92" s="137"/>
      <c r="J92" s="199"/>
      <c r="K92" s="199"/>
      <c r="M92" s="282">
        <f>Financials!P8</f>
        <v>2</v>
      </c>
      <c r="N92" s="248">
        <f ca="1">Financials!P134</f>
        <v>0.44169988538212279</v>
      </c>
      <c r="O92" s="283">
        <f t="shared" si="1"/>
        <v>9.9124999999999991E-2</v>
      </c>
      <c r="P92" s="283">
        <f t="shared" ca="1" si="2"/>
        <v>0.34257488538212277</v>
      </c>
      <c r="Q92" s="199"/>
      <c r="R92" s="199"/>
      <c r="S92" s="159"/>
    </row>
    <row r="93" spans="1:19" ht="15" customHeight="1" x14ac:dyDescent="0.35">
      <c r="B93" s="160"/>
      <c r="C93" s="18" t="s">
        <v>173</v>
      </c>
      <c r="G93" s="18" t="s">
        <v>8</v>
      </c>
      <c r="J93" s="195"/>
      <c r="K93" s="195"/>
      <c r="M93" s="282">
        <f>Financials!Q8</f>
        <v>3</v>
      </c>
      <c r="N93" s="248">
        <f ca="1">Financials!Q134</f>
        <v>0.58709386911585382</v>
      </c>
      <c r="O93" s="283">
        <f t="shared" si="1"/>
        <v>9.9124999999999991E-2</v>
      </c>
      <c r="P93" s="283">
        <f t="shared" ca="1" si="2"/>
        <v>0.4879688691158538</v>
      </c>
      <c r="Q93" s="195"/>
      <c r="R93" s="195"/>
      <c r="S93" s="162"/>
    </row>
    <row r="94" spans="1:19" ht="15" customHeight="1" x14ac:dyDescent="0.35">
      <c r="B94" s="160"/>
      <c r="C94" s="137" t="s">
        <v>83</v>
      </c>
      <c r="D94" s="137"/>
      <c r="E94" s="137"/>
      <c r="F94" s="137"/>
      <c r="G94" s="137" t="s">
        <v>131</v>
      </c>
      <c r="J94" s="195"/>
      <c r="K94" s="195"/>
      <c r="M94" s="282">
        <f>Financials!R8</f>
        <v>4</v>
      </c>
      <c r="N94" s="248">
        <f ca="1">Financials!R134</f>
        <v>0.66768040201824275</v>
      </c>
      <c r="O94" s="283">
        <f t="shared" si="1"/>
        <v>9.9124999999999991E-2</v>
      </c>
      <c r="P94" s="283">
        <f t="shared" ca="1" si="2"/>
        <v>0.56855540201824273</v>
      </c>
      <c r="Q94" s="195"/>
      <c r="R94" s="195"/>
      <c r="S94" s="162"/>
    </row>
    <row r="95" spans="1:19" ht="15" customHeight="1" x14ac:dyDescent="0.35">
      <c r="B95" s="160"/>
      <c r="C95" s="18" t="s">
        <v>160</v>
      </c>
      <c r="G95" s="18" t="s">
        <v>147</v>
      </c>
      <c r="J95" s="195"/>
      <c r="K95" s="195"/>
      <c r="M95" s="282">
        <f>Financials!S8</f>
        <v>5</v>
      </c>
      <c r="N95" s="248">
        <f ca="1">Financials!S134</f>
        <v>0.73472299654983764</v>
      </c>
      <c r="O95" s="283">
        <f t="shared" si="1"/>
        <v>9.9124999999999991E-2</v>
      </c>
      <c r="P95" s="283">
        <f t="shared" ca="1" si="2"/>
        <v>0.63559799654983762</v>
      </c>
      <c r="Q95" s="195"/>
      <c r="R95" s="195"/>
      <c r="S95" s="162"/>
    </row>
    <row r="96" spans="1:19" ht="15" customHeight="1" x14ac:dyDescent="0.35">
      <c r="B96" s="160"/>
      <c r="C96" s="18" t="s">
        <v>108</v>
      </c>
      <c r="F96" s="137"/>
      <c r="G96" s="18" t="s">
        <v>279</v>
      </c>
      <c r="J96" s="195"/>
      <c r="K96" s="195"/>
      <c r="M96" s="278" t="s">
        <v>8</v>
      </c>
      <c r="N96" s="248">
        <f>G102</f>
        <v>0.11912499999999999</v>
      </c>
      <c r="O96" s="283">
        <f t="shared" si="1"/>
        <v>9.9124999999999991E-2</v>
      </c>
      <c r="P96" s="283">
        <f t="shared" si="2"/>
        <v>2.0000000000000004E-2</v>
      </c>
      <c r="Q96" s="195"/>
      <c r="R96" s="195"/>
      <c r="S96" s="162"/>
    </row>
    <row r="97" spans="1:19" ht="15" customHeight="1" x14ac:dyDescent="0.35">
      <c r="B97" s="160"/>
      <c r="C97" s="137" t="s">
        <v>161</v>
      </c>
      <c r="D97" s="137"/>
      <c r="E97" s="137"/>
      <c r="G97" s="18" t="s">
        <v>181</v>
      </c>
      <c r="J97" s="195"/>
      <c r="K97" s="195"/>
      <c r="Q97" s="195"/>
      <c r="R97" s="195"/>
      <c r="S97" s="162"/>
    </row>
    <row r="98" spans="1:19" ht="15" customHeight="1" x14ac:dyDescent="0.35">
      <c r="B98" s="160"/>
      <c r="C98" s="13"/>
      <c r="D98" s="13"/>
      <c r="E98" s="13"/>
      <c r="J98" s="195"/>
      <c r="K98" s="195"/>
      <c r="M98" s="278"/>
      <c r="N98" s="248"/>
      <c r="O98" s="283"/>
      <c r="P98" s="283"/>
      <c r="Q98" s="195"/>
      <c r="R98" s="195"/>
      <c r="S98" s="162"/>
    </row>
    <row r="99" spans="1:19" ht="15" customHeight="1" x14ac:dyDescent="0.35">
      <c r="B99" s="160"/>
      <c r="C99" s="13" t="s">
        <v>29</v>
      </c>
      <c r="D99" s="137"/>
      <c r="E99" s="137"/>
      <c r="F99" s="137"/>
      <c r="G99" s="137"/>
      <c r="H99" s="137"/>
      <c r="I99" s="137"/>
      <c r="J99" s="137"/>
      <c r="K99" s="67"/>
      <c r="P99" s="1"/>
      <c r="Q99" s="1"/>
      <c r="R99" s="1"/>
      <c r="S99" s="78"/>
    </row>
    <row r="100" spans="1:19" ht="15" customHeight="1" x14ac:dyDescent="0.35">
      <c r="B100" s="160"/>
      <c r="C100" s="284" t="str">
        <f>Assumptions!K82</f>
        <v>Discount Rate</v>
      </c>
      <c r="F100" s="255" t="str">
        <f>Assumptions!$E$60</f>
        <v>%</v>
      </c>
      <c r="G100" s="256">
        <f>Assumptions!M82</f>
        <v>9.9124999999999991E-2</v>
      </c>
      <c r="K100" s="195"/>
      <c r="L100" s="67"/>
      <c r="M100" s="67"/>
      <c r="O100" s="1"/>
      <c r="P100" s="74"/>
      <c r="Q100" s="74"/>
      <c r="R100" s="74"/>
      <c r="S100" s="78"/>
    </row>
    <row r="101" spans="1:19" ht="15" customHeight="1" x14ac:dyDescent="0.35">
      <c r="B101" s="160"/>
      <c r="C101" s="285" t="str">
        <f>Assumptions!K83</f>
        <v>Spread to Discount Rate</v>
      </c>
      <c r="F101" s="255" t="str">
        <f>Assumptions!$E$60</f>
        <v>%</v>
      </c>
      <c r="G101" s="286">
        <f>Assumptions!M83</f>
        <v>0.02</v>
      </c>
      <c r="K101" s="195"/>
      <c r="L101" s="195"/>
      <c r="M101" s="195"/>
      <c r="O101" s="195"/>
      <c r="P101" s="195"/>
      <c r="Q101" s="195"/>
      <c r="R101" s="195"/>
      <c r="S101" s="162"/>
    </row>
    <row r="102" spans="1:19" ht="15" customHeight="1" x14ac:dyDescent="0.35">
      <c r="B102" s="160"/>
      <c r="C102" s="18" t="str">
        <f>C96</f>
        <v>ROIC</v>
      </c>
      <c r="F102" s="255" t="str">
        <f>Assumptions!$E$82</f>
        <v>%</v>
      </c>
      <c r="G102" s="285">
        <f>G100+G101</f>
        <v>0.11912499999999999</v>
      </c>
      <c r="K102" s="195"/>
      <c r="L102" s="195"/>
      <c r="M102" s="195"/>
      <c r="O102" s="256"/>
      <c r="P102" s="256"/>
      <c r="Q102" s="256"/>
      <c r="R102" s="256"/>
      <c r="S102" s="162"/>
    </row>
    <row r="103" spans="1:19" ht="15" customHeight="1" x14ac:dyDescent="0.35">
      <c r="B103" s="160"/>
      <c r="C103" s="18" t="str">
        <f>Financials!C152&amp;" (Year "&amp;Financials!S$8&amp;")"</f>
        <v>Invested Capital (Year 5)</v>
      </c>
      <c r="F103" s="204" t="str">
        <f>Assumptions!$G$14</f>
        <v>USD</v>
      </c>
      <c r="G103" s="659">
        <f ca="1">'Two Stage Value Driver Model'!R34</f>
        <v>741485.81391922617</v>
      </c>
      <c r="K103" s="195"/>
      <c r="L103" s="195"/>
      <c r="M103" s="195"/>
      <c r="O103" s="256"/>
      <c r="P103" s="256"/>
      <c r="Q103" s="256"/>
      <c r="R103" s="256"/>
      <c r="S103" s="162"/>
    </row>
    <row r="104" spans="1:19" ht="15" customHeight="1" x14ac:dyDescent="0.35">
      <c r="B104" s="160"/>
      <c r="C104" s="137" t="str">
        <f>"NOPLAT (Year "&amp;Financials!S$8&amp;")"</f>
        <v>NOPLAT (Year 5)</v>
      </c>
      <c r="D104" s="137"/>
      <c r="E104" s="137"/>
      <c r="F104" s="204" t="str">
        <f>Assumptions!$G$14</f>
        <v>USD</v>
      </c>
      <c r="G104" s="659">
        <f ca="1">G103*G102</f>
        <v>88329.497583127813</v>
      </c>
      <c r="K104" s="195"/>
      <c r="L104" s="195"/>
      <c r="M104" s="195"/>
      <c r="O104" s="256"/>
      <c r="P104" s="256"/>
      <c r="Q104" s="256"/>
      <c r="R104" s="256"/>
      <c r="S104" s="162"/>
    </row>
    <row r="105" spans="1:19" ht="15" customHeight="1" x14ac:dyDescent="0.35">
      <c r="B105" s="160"/>
      <c r="C105" s="18" t="str">
        <f>Assumptions!$C$86</f>
        <v>Growth Rate</v>
      </c>
      <c r="F105" s="255" t="str">
        <f>Assumptions!$E$82</f>
        <v>%</v>
      </c>
      <c r="G105" s="256">
        <f>Assumptions!M85</f>
        <v>2.5000000000000001E-2</v>
      </c>
      <c r="K105" s="195"/>
      <c r="L105" s="195"/>
      <c r="M105" s="195"/>
      <c r="O105" s="7"/>
      <c r="P105" s="7"/>
      <c r="Q105" s="7"/>
      <c r="R105" s="7"/>
      <c r="S105" s="162"/>
    </row>
    <row r="106" spans="1:19" ht="15" customHeight="1" x14ac:dyDescent="0.35">
      <c r="B106" s="160"/>
      <c r="C106" s="200" t="str">
        <f>"TV "&amp;C84</f>
        <v>TV One Stage Value Driver</v>
      </c>
      <c r="D106" s="200"/>
      <c r="E106" s="200"/>
      <c r="F106" s="201" t="str">
        <f>Assumptions!$G$14</f>
        <v>USD</v>
      </c>
      <c r="G106" s="44">
        <f ca="1">MAX(IFERROR((G$104*(1+G105)*(1-($G$105/G102))/($G$100-$G$105)),0),0)</f>
        <v>965088.17593289493</v>
      </c>
      <c r="K106" s="46"/>
      <c r="L106" s="46"/>
      <c r="M106" s="46"/>
      <c r="O106" s="287"/>
      <c r="P106" s="287"/>
      <c r="Q106" s="287"/>
      <c r="R106" s="287"/>
      <c r="S106" s="162"/>
    </row>
    <row r="107" spans="1:19" ht="15" customHeight="1" x14ac:dyDescent="0.35">
      <c r="B107" s="160"/>
      <c r="C107" s="639" t="str">
        <f ca="1">HYPERLINK("#"&amp;CELL("address",$C$138),"=&gt; Compare "&amp;$C$122)</f>
        <v>=&gt; Compare Terminal Value Models</v>
      </c>
      <c r="S107" s="167"/>
    </row>
    <row r="108" spans="1:19" ht="15" customHeight="1" x14ac:dyDescent="0.35">
      <c r="B108" s="190"/>
      <c r="C108" s="193"/>
      <c r="D108" s="193"/>
      <c r="E108" s="193"/>
      <c r="F108" s="193"/>
      <c r="G108" s="193"/>
      <c r="H108" s="193"/>
      <c r="I108" s="193"/>
      <c r="J108" s="238"/>
      <c r="K108" s="238"/>
      <c r="L108" s="238"/>
      <c r="M108" s="238"/>
      <c r="N108" s="238"/>
      <c r="O108" s="238"/>
      <c r="P108" s="238"/>
      <c r="Q108" s="238"/>
      <c r="R108" s="238"/>
      <c r="S108" s="239"/>
    </row>
    <row r="109" spans="1:19" ht="15" customHeight="1" x14ac:dyDescent="0.35"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</row>
    <row r="110" spans="1:19" ht="15" customHeight="1" x14ac:dyDescent="0.35">
      <c r="C110" s="247" t="str">
        <f>"All amounts in "&amp;Assumptions!$G$14</f>
        <v>All amounts in USD</v>
      </c>
      <c r="D110" s="247"/>
      <c r="E110" s="247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</row>
    <row r="111" spans="1:19" s="13" customFormat="1" ht="15" customHeight="1" x14ac:dyDescent="0.35">
      <c r="A111" s="22">
        <f>A84+1</f>
        <v>6</v>
      </c>
      <c r="B111" s="196"/>
      <c r="C111" s="143" t="str">
        <f>Assumptions!K76</f>
        <v>Two Stage Value Driver</v>
      </c>
      <c r="D111" s="143"/>
      <c r="E111" s="143"/>
      <c r="F111" s="143"/>
      <c r="G111" s="143"/>
      <c r="H111" s="143"/>
      <c r="I111" s="143"/>
      <c r="J111" s="143"/>
      <c r="K111" s="143"/>
      <c r="L111" s="143" t="s">
        <v>183</v>
      </c>
      <c r="M111" s="143"/>
      <c r="N111" s="143"/>
      <c r="O111" s="143"/>
      <c r="P111" s="143"/>
      <c r="Q111" s="143"/>
      <c r="R111" s="143"/>
      <c r="S111" s="197"/>
    </row>
    <row r="112" spans="1:19" ht="15" customHeight="1" x14ac:dyDescent="0.35">
      <c r="A112" s="137"/>
      <c r="B112" s="288"/>
      <c r="C112" s="289"/>
      <c r="D112" s="289"/>
      <c r="E112" s="289"/>
      <c r="F112" s="289"/>
      <c r="G112" s="289"/>
      <c r="H112" s="289"/>
      <c r="I112" s="289"/>
      <c r="J112" s="290"/>
      <c r="K112" s="290"/>
      <c r="L112" s="289"/>
      <c r="M112" s="289"/>
      <c r="N112" s="289"/>
      <c r="O112" s="289"/>
      <c r="P112" s="289"/>
      <c r="Q112" s="289"/>
      <c r="R112" s="289"/>
      <c r="S112" s="291"/>
    </row>
    <row r="113" spans="1:26" ht="15" customHeight="1" x14ac:dyDescent="0.35">
      <c r="B113" s="160"/>
      <c r="C113" s="200" t="str">
        <f>"TV "&amp;C111</f>
        <v>TV Two Stage Value Driver</v>
      </c>
      <c r="D113" s="200"/>
      <c r="E113" s="200"/>
      <c r="F113" s="201" t="str">
        <f>'Two Stage Value Driver Model'!G78</f>
        <v>USD</v>
      </c>
      <c r="G113" s="44">
        <f ca="1">'Two Stage Value Driver Model'!H78</f>
        <v>4379465.0854245424</v>
      </c>
      <c r="S113" s="167"/>
    </row>
    <row r="114" spans="1:26" ht="15" customHeight="1" x14ac:dyDescent="0.35">
      <c r="B114" s="640"/>
      <c r="C114" s="641" t="str">
        <f ca="1">HYPERLINK("#"&amp;CELL("address",'Two Stage Value Driver Model'!$R$47),"=&gt; Calculation of "&amp;'Two Stage Value Driver Model'!$C$7)</f>
        <v>=&gt; Calculation of Two Stage Value Driver</v>
      </c>
      <c r="S114" s="167"/>
    </row>
    <row r="115" spans="1:26" ht="15" customHeight="1" x14ac:dyDescent="0.35">
      <c r="B115" s="640"/>
      <c r="C115" s="639" t="str">
        <f ca="1">HYPERLINK("#"&amp;CELL("address",$C$138),"=&gt; Compare "&amp;$C$122)</f>
        <v>=&gt; Compare Terminal Value Models</v>
      </c>
      <c r="S115" s="167"/>
    </row>
    <row r="116" spans="1:26" ht="15" customHeight="1" x14ac:dyDescent="0.35">
      <c r="B116" s="642"/>
      <c r="C116" s="64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4"/>
    </row>
    <row r="118" spans="1:26" ht="15" customHeight="1" x14ac:dyDescent="0.35">
      <c r="C118" s="137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</row>
    <row r="119" spans="1:26" ht="15" customHeight="1" x14ac:dyDescent="0.35">
      <c r="A119" s="137"/>
      <c r="B119" s="137"/>
      <c r="C119" s="247" t="str">
        <f>"All amounts in "&amp;Assumptions!$G$14</f>
        <v>All amounts in USD</v>
      </c>
      <c r="D119" s="247"/>
      <c r="E119" s="247"/>
      <c r="F119" s="139"/>
      <c r="G119" s="139"/>
      <c r="H119" s="139"/>
      <c r="I119" s="13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26" s="13" customFormat="1" ht="15" customHeight="1" x14ac:dyDescent="0.35">
      <c r="A120" s="22">
        <f>A111+1</f>
        <v>7</v>
      </c>
      <c r="B120" s="196"/>
      <c r="C120" s="143" t="str">
        <f>C5&amp;" Summary"</f>
        <v>Terminal Value Models Summary</v>
      </c>
      <c r="D120" s="143"/>
      <c r="E120" s="143"/>
      <c r="F120" s="143"/>
      <c r="G120" s="143"/>
      <c r="H120" s="143"/>
      <c r="I120" s="143"/>
      <c r="J120" s="143"/>
      <c r="K120" s="143"/>
      <c r="L120" s="143" t="s">
        <v>191</v>
      </c>
      <c r="M120" s="143"/>
      <c r="N120" s="143"/>
      <c r="O120" s="143"/>
      <c r="P120" s="143"/>
      <c r="Q120" s="143"/>
      <c r="R120" s="143"/>
      <c r="S120" s="197"/>
      <c r="U120" s="137"/>
      <c r="V120" s="137"/>
      <c r="W120" s="137"/>
      <c r="X120" s="137"/>
      <c r="Y120" s="137"/>
      <c r="Z120" s="137"/>
    </row>
    <row r="121" spans="1:26" s="19" customFormat="1" ht="15" customHeight="1" x14ac:dyDescent="0.35">
      <c r="A121" s="137"/>
      <c r="B121" s="30"/>
      <c r="C121" s="292"/>
      <c r="D121" s="292"/>
      <c r="E121" s="292"/>
      <c r="F121" s="252"/>
      <c r="G121" s="252"/>
      <c r="H121" s="293"/>
      <c r="I121" s="293"/>
      <c r="J121" s="293"/>
      <c r="K121" s="293"/>
      <c r="L121" s="857" t="str">
        <f>Assumptions!$G$14</f>
        <v>USD</v>
      </c>
      <c r="N121" s="293"/>
      <c r="O121" s="293"/>
      <c r="P121" s="293"/>
      <c r="Q121" s="293"/>
      <c r="S121" s="295"/>
      <c r="U121" s="137"/>
      <c r="V121" s="137"/>
      <c r="W121" s="137"/>
      <c r="X121" s="137"/>
      <c r="Y121" s="137"/>
      <c r="Z121" s="137"/>
    </row>
    <row r="122" spans="1:26" s="19" customFormat="1" ht="15" customHeight="1" x14ac:dyDescent="0.35">
      <c r="A122" s="137"/>
      <c r="B122" s="30"/>
      <c r="C122" s="296" t="s">
        <v>150</v>
      </c>
      <c r="D122" s="296"/>
      <c r="E122" s="296"/>
      <c r="F122" s="297"/>
      <c r="G122" s="297"/>
      <c r="H122" s="298" t="s">
        <v>173</v>
      </c>
      <c r="I122" s="299" t="s">
        <v>242</v>
      </c>
      <c r="J122" s="298" t="s">
        <v>223</v>
      </c>
      <c r="L122" s="293"/>
      <c r="M122" s="293"/>
      <c r="N122" s="293"/>
      <c r="O122" s="293"/>
      <c r="P122" s="293"/>
      <c r="Q122" s="293"/>
      <c r="S122" s="295"/>
      <c r="U122" s="137"/>
      <c r="V122" s="137"/>
      <c r="W122" s="137"/>
      <c r="X122" s="137"/>
      <c r="Y122" s="137"/>
      <c r="Z122" s="137"/>
    </row>
    <row r="123" spans="1:26" s="19" customFormat="1" ht="15" customHeight="1" x14ac:dyDescent="0.35">
      <c r="A123" s="137"/>
      <c r="B123" s="30"/>
      <c r="C123" s="300"/>
      <c r="D123" s="300"/>
      <c r="E123" s="300"/>
      <c r="F123" s="301"/>
      <c r="G123" s="301"/>
      <c r="H123" s="302" t="s">
        <v>252</v>
      </c>
      <c r="I123" s="36"/>
      <c r="J123" s="302" t="s">
        <v>224</v>
      </c>
      <c r="L123" s="293"/>
      <c r="M123" s="293"/>
      <c r="N123" s="293"/>
      <c r="O123" s="293"/>
      <c r="P123" s="293"/>
      <c r="Q123" s="293"/>
      <c r="S123" s="295"/>
      <c r="U123" s="137"/>
      <c r="V123" s="137"/>
      <c r="W123" s="137"/>
      <c r="X123" s="137"/>
      <c r="Y123" s="137"/>
      <c r="Z123" s="137"/>
    </row>
    <row r="124" spans="1:26" s="308" customFormat="1" ht="15" customHeight="1" x14ac:dyDescent="0.35">
      <c r="A124" s="303"/>
      <c r="B124" s="304"/>
      <c r="C124" s="305"/>
      <c r="D124" s="305"/>
      <c r="E124" s="305"/>
      <c r="F124" s="292"/>
      <c r="G124" s="292"/>
      <c r="H124" s="306" t="str">
        <f>Assumptions!$G$14</f>
        <v>USD</v>
      </c>
      <c r="I124" s="307" t="s">
        <v>14</v>
      </c>
      <c r="J124" s="306" t="str">
        <f>Assumptions!$G$14</f>
        <v>USD</v>
      </c>
      <c r="L124" s="306"/>
      <c r="M124" s="293"/>
      <c r="N124" s="293"/>
      <c r="O124" s="293"/>
      <c r="P124" s="293"/>
      <c r="Q124" s="293"/>
      <c r="S124" s="295"/>
      <c r="U124" s="137"/>
      <c r="V124" s="137"/>
      <c r="W124" s="137"/>
      <c r="X124" s="137"/>
      <c r="Y124" s="137"/>
      <c r="Z124" s="137"/>
    </row>
    <row r="125" spans="1:26" s="19" customFormat="1" ht="15" customHeight="1" x14ac:dyDescent="0.35">
      <c r="A125" s="137"/>
      <c r="B125" s="30"/>
      <c r="C125" s="644"/>
      <c r="D125" s="297"/>
      <c r="E125" s="297"/>
      <c r="F125" s="252"/>
      <c r="G125" s="252"/>
      <c r="H125" s="309"/>
      <c r="I125" s="310"/>
      <c r="J125" s="293"/>
      <c r="L125" s="293"/>
      <c r="M125" s="293"/>
      <c r="N125" s="293"/>
      <c r="O125" s="293"/>
      <c r="P125" s="293"/>
      <c r="Q125" s="293"/>
      <c r="S125" s="295"/>
      <c r="U125" s="137"/>
      <c r="V125" s="137"/>
      <c r="W125" s="137"/>
      <c r="X125" s="137"/>
      <c r="Y125" s="137"/>
      <c r="Z125" s="137"/>
    </row>
    <row r="126" spans="1:26" s="19" customFormat="1" ht="15" customHeight="1" x14ac:dyDescent="0.35">
      <c r="A126" s="137"/>
      <c r="B126" s="30"/>
      <c r="C126" s="645" t="str">
        <f ca="1">HYPERLINK("#"&amp;CELL("address",'Terminal Value'!$H$18),'Terminal Value'!$C$7)</f>
        <v>Capitalized Earnings</v>
      </c>
      <c r="D126" s="252"/>
      <c r="E126" s="311"/>
      <c r="F126" s="252"/>
      <c r="G126" s="312" t="str">
        <f>Assumptions!$G$14</f>
        <v>USD</v>
      </c>
      <c r="H126" s="314">
        <f>H18</f>
        <v>6697510.9510911852</v>
      </c>
      <c r="I126" s="313">
        <f t="shared" ref="I126:I135" si="3">I$138</f>
        <v>0.65356398515495484</v>
      </c>
      <c r="J126" s="314">
        <f t="shared" ref="J126:J135" si="4">H126*$I$138</f>
        <v>4377251.9478141069</v>
      </c>
      <c r="L126" s="178"/>
      <c r="M126" s="314"/>
      <c r="N126" s="314"/>
      <c r="O126" s="314"/>
      <c r="P126" s="314"/>
      <c r="Q126" s="314"/>
      <c r="S126" s="295"/>
      <c r="U126" s="137"/>
      <c r="V126" s="137"/>
      <c r="W126" s="137"/>
      <c r="X126" s="137"/>
      <c r="Y126" s="137"/>
      <c r="Z126" s="137"/>
    </row>
    <row r="127" spans="1:26" s="19" customFormat="1" ht="15" customHeight="1" x14ac:dyDescent="0.35">
      <c r="A127" s="137"/>
      <c r="B127" s="30"/>
      <c r="C127" s="645" t="str">
        <f ca="1">HYPERLINK("#"&amp;CELL("address",'Terminal Value'!$H$37),'Terminal Value'!$C$24)</f>
        <v>Gordon Growth</v>
      </c>
      <c r="D127" s="252"/>
      <c r="E127" s="311"/>
      <c r="F127" s="252"/>
      <c r="G127" s="312" t="str">
        <f>Assumptions!$G$14</f>
        <v>USD</v>
      </c>
      <c r="H127" s="314">
        <f ca="1">H37</f>
        <v>13663519.4283383</v>
      </c>
      <c r="I127" s="313">
        <f t="shared" si="3"/>
        <v>0.65356398515495484</v>
      </c>
      <c r="J127" s="314">
        <f t="shared" ca="1" si="4"/>
        <v>8929984.2088269293</v>
      </c>
      <c r="L127" s="178"/>
      <c r="M127" s="314"/>
      <c r="N127" s="314"/>
      <c r="O127" s="314"/>
      <c r="P127" s="314"/>
      <c r="Q127" s="314"/>
      <c r="S127" s="295"/>
      <c r="U127" s="137"/>
      <c r="V127" s="137"/>
      <c r="W127" s="137"/>
      <c r="X127" s="137"/>
      <c r="Y127" s="137"/>
      <c r="Z127" s="137"/>
    </row>
    <row r="128" spans="1:26" s="19" customFormat="1" ht="15" customHeight="1" x14ac:dyDescent="0.35">
      <c r="A128" s="137"/>
      <c r="B128" s="30"/>
      <c r="C128" s="645" t="str">
        <f ca="1">HYPERLINK("#"&amp;CELL("address",'Terminal Value'!$G$64),'Terminal Value'!$C$43)</f>
        <v>H-Model</v>
      </c>
      <c r="D128" s="252"/>
      <c r="E128" s="311"/>
      <c r="F128" s="252"/>
      <c r="G128" s="312" t="str">
        <f>Assumptions!$G$14</f>
        <v>USD</v>
      </c>
      <c r="H128" s="314">
        <f ca="1">G64</f>
        <v>16867483.058766715</v>
      </c>
      <c r="I128" s="313">
        <f t="shared" si="3"/>
        <v>0.65356398515495484</v>
      </c>
      <c r="J128" s="314">
        <f t="shared" ca="1" si="4"/>
        <v>11023979.447421262</v>
      </c>
      <c r="L128" s="178"/>
      <c r="M128" s="314"/>
      <c r="N128" s="314"/>
      <c r="O128" s="314"/>
      <c r="P128" s="314"/>
      <c r="Q128" s="314"/>
      <c r="S128" s="295"/>
      <c r="U128" s="137"/>
      <c r="V128" s="137"/>
      <c r="W128" s="137"/>
      <c r="X128" s="137"/>
      <c r="Y128" s="137"/>
      <c r="Z128" s="137"/>
    </row>
    <row r="129" spans="1:26" s="19" customFormat="1" ht="15" customHeight="1" x14ac:dyDescent="0.35">
      <c r="A129" s="137"/>
      <c r="B129" s="30"/>
      <c r="C129" s="645" t="str">
        <f ca="1">HYPERLINK("#"&amp;CELL("address",'Terminal Value'!$O$74),Assumptions!K70)</f>
        <v>EV/Revenue Exit Multiple (2.5x)</v>
      </c>
      <c r="D129" s="252"/>
      <c r="E129" s="100"/>
      <c r="F129" s="252"/>
      <c r="G129" s="312" t="str">
        <f>Assumptions!$G$14</f>
        <v>USD</v>
      </c>
      <c r="H129" s="314">
        <f>O74</f>
        <v>17601845.489648439</v>
      </c>
      <c r="I129" s="313">
        <f t="shared" si="3"/>
        <v>0.65356398515495484</v>
      </c>
      <c r="J129" s="314">
        <f t="shared" si="4"/>
        <v>11503932.284296401</v>
      </c>
      <c r="L129" s="178"/>
      <c r="M129" s="314"/>
      <c r="N129" s="314"/>
      <c r="O129" s="314"/>
      <c r="P129" s="314"/>
      <c r="Q129" s="314"/>
      <c r="S129" s="295"/>
      <c r="U129" s="137"/>
      <c r="V129" s="137"/>
      <c r="W129" s="137"/>
      <c r="X129" s="137"/>
      <c r="Y129" s="137"/>
      <c r="Z129" s="137"/>
    </row>
    <row r="130" spans="1:26" s="19" customFormat="1" ht="15" customHeight="1" x14ac:dyDescent="0.35">
      <c r="A130" s="137"/>
      <c r="B130" s="30"/>
      <c r="C130" s="645" t="str">
        <f ca="1">HYPERLINK("#"&amp;CELL("address",'Terminal Value'!$O$75),Assumptions!K71)</f>
        <v>EV/EBITDA Exit Multiple (6.0x)</v>
      </c>
      <c r="D130" s="252"/>
      <c r="E130" s="311"/>
      <c r="F130" s="252"/>
      <c r="G130" s="312" t="str">
        <f>Assumptions!$G$14</f>
        <v>USD</v>
      </c>
      <c r="H130" s="314">
        <f>O75</f>
        <v>7411126.1842153091</v>
      </c>
      <c r="I130" s="313">
        <f t="shared" si="3"/>
        <v>0.65356398515495484</v>
      </c>
      <c r="J130" s="314">
        <f t="shared" si="4"/>
        <v>4843645.1634419914</v>
      </c>
      <c r="L130" s="178"/>
      <c r="M130" s="314"/>
      <c r="N130" s="314"/>
      <c r="O130" s="314"/>
      <c r="P130" s="314"/>
      <c r="Q130" s="314"/>
      <c r="S130" s="295"/>
      <c r="U130" s="137"/>
      <c r="V130" s="137"/>
      <c r="W130" s="137"/>
      <c r="X130" s="137"/>
      <c r="Y130" s="137"/>
      <c r="Z130" s="137"/>
    </row>
    <row r="131" spans="1:26" s="19" customFormat="1" ht="15" customHeight="1" x14ac:dyDescent="0.35">
      <c r="A131" s="137"/>
      <c r="B131" s="30"/>
      <c r="C131" s="645" t="str">
        <f ca="1">HYPERLINK("#"&amp;CELL("address",'Terminal Value'!$O$76),Assumptions!K72)</f>
        <v>EV/EBIT Exit Multiple (7.0x)</v>
      </c>
      <c r="D131" s="252"/>
      <c r="E131" s="311"/>
      <c r="F131" s="252"/>
      <c r="G131" s="312" t="str">
        <f>Assumptions!$G$14</f>
        <v>USD</v>
      </c>
      <c r="H131" s="314">
        <f>O76</f>
        <v>6196313.881584527</v>
      </c>
      <c r="I131" s="313">
        <f t="shared" si="3"/>
        <v>0.65356398515495484</v>
      </c>
      <c r="J131" s="314">
        <f t="shared" si="4"/>
        <v>4049687.5937193502</v>
      </c>
      <c r="L131" s="178"/>
      <c r="M131" s="314"/>
      <c r="N131" s="314"/>
      <c r="O131" s="314"/>
      <c r="P131" s="314"/>
      <c r="Q131" s="314"/>
      <c r="S131" s="295"/>
      <c r="U131" s="137"/>
      <c r="V131" s="137"/>
      <c r="W131" s="137"/>
      <c r="X131" s="137"/>
      <c r="Y131" s="137"/>
      <c r="Z131" s="137"/>
    </row>
    <row r="132" spans="1:26" s="19" customFormat="1" ht="15" customHeight="1" x14ac:dyDescent="0.35">
      <c r="A132" s="137"/>
      <c r="B132" s="30"/>
      <c r="C132" s="645" t="str">
        <f ca="1">HYPERLINK("#"&amp;CELL("address",'Terminal Value'!$O$77),Assumptions!K73)</f>
        <v>P/E Exit Multiple (5.0x)</v>
      </c>
      <c r="D132" s="252"/>
      <c r="E132" s="311"/>
      <c r="F132" s="252"/>
      <c r="G132" s="312" t="str">
        <f>Assumptions!$G$14</f>
        <v>USD</v>
      </c>
      <c r="H132" s="314">
        <f ca="1">O77</f>
        <v>1214764.1460628277</v>
      </c>
      <c r="I132" s="313">
        <f t="shared" si="3"/>
        <v>0.65356398515495484</v>
      </c>
      <c r="J132" s="314">
        <f t="shared" ca="1" si="4"/>
        <v>793926.09632417734</v>
      </c>
      <c r="L132" s="178"/>
      <c r="M132" s="314"/>
      <c r="N132" s="314"/>
      <c r="O132" s="314"/>
      <c r="P132" s="314"/>
      <c r="Q132" s="314"/>
      <c r="S132" s="295"/>
      <c r="U132" s="137"/>
      <c r="V132" s="137"/>
      <c r="W132" s="137"/>
      <c r="X132" s="137"/>
      <c r="Y132" s="137"/>
      <c r="Z132" s="137"/>
    </row>
    <row r="133" spans="1:26" s="19" customFormat="1" ht="15" customHeight="1" x14ac:dyDescent="0.35">
      <c r="A133" s="137"/>
      <c r="B133" s="30"/>
      <c r="C133" s="645" t="str">
        <f ca="1">HYPERLINK("#"&amp;CELL("address",'Terminal Value'!$O$78),Assumptions!K74)</f>
        <v>P/B Exit Multiple (2.0x)</v>
      </c>
      <c r="D133" s="252"/>
      <c r="E133" s="311"/>
      <c r="F133" s="252"/>
      <c r="G133" s="312" t="str">
        <f>Assumptions!$G$14</f>
        <v>USD</v>
      </c>
      <c r="H133" s="314">
        <f ca="1">O78</f>
        <v>3526723.8469101926</v>
      </c>
      <c r="I133" s="313">
        <f t="shared" si="3"/>
        <v>0.65356398515495484</v>
      </c>
      <c r="J133" s="314">
        <f t="shared" ca="1" si="4"/>
        <v>2304939.6919276384</v>
      </c>
      <c r="L133" s="178"/>
      <c r="M133" s="314"/>
      <c r="N133" s="314"/>
      <c r="O133" s="314"/>
      <c r="P133" s="314"/>
      <c r="Q133" s="314"/>
      <c r="S133" s="295"/>
      <c r="U133" s="137"/>
      <c r="V133" s="137"/>
      <c r="W133" s="137"/>
      <c r="X133" s="137"/>
      <c r="Y133" s="137"/>
      <c r="Z133" s="137"/>
    </row>
    <row r="134" spans="1:26" s="19" customFormat="1" ht="15" customHeight="1" x14ac:dyDescent="0.35">
      <c r="A134" s="137"/>
      <c r="B134" s="30"/>
      <c r="C134" s="645" t="str">
        <f ca="1">HYPERLINK("#"&amp;CELL("address",'Terminal Value'!$G$106),'Terminal Value'!$C$84)</f>
        <v>One Stage Value Driver</v>
      </c>
      <c r="D134" s="252"/>
      <c r="E134" s="311"/>
      <c r="F134" s="252"/>
      <c r="G134" s="312" t="str">
        <f>Assumptions!$G$14</f>
        <v>USD</v>
      </c>
      <c r="H134" s="314">
        <f ca="1">G106</f>
        <v>965088.17593289493</v>
      </c>
      <c r="I134" s="313">
        <f t="shared" si="3"/>
        <v>0.65356398515495484</v>
      </c>
      <c r="J134" s="314">
        <f t="shared" ca="1" si="4"/>
        <v>630746.87428862904</v>
      </c>
      <c r="L134" s="178"/>
      <c r="M134" s="314"/>
      <c r="N134" s="314"/>
      <c r="O134" s="314"/>
      <c r="P134" s="314"/>
      <c r="Q134" s="314"/>
      <c r="S134" s="295"/>
      <c r="U134" s="137"/>
      <c r="V134" s="137"/>
      <c r="W134" s="137"/>
      <c r="X134" s="137"/>
      <c r="Y134" s="137"/>
      <c r="Z134" s="137"/>
    </row>
    <row r="135" spans="1:26" s="19" customFormat="1" ht="15" customHeight="1" x14ac:dyDescent="0.35">
      <c r="A135" s="137"/>
      <c r="B135" s="30"/>
      <c r="C135" s="645" t="str">
        <f ca="1">HYPERLINK("#"&amp;CELL("address",'Two Stage Value Driver Model'!$R$47),'Two Stage Value Driver Model'!$C$7)</f>
        <v>Two Stage Value Driver</v>
      </c>
      <c r="D135" s="252"/>
      <c r="E135" s="311"/>
      <c r="F135" s="252"/>
      <c r="G135" s="312" t="str">
        <f>Assumptions!$G$14</f>
        <v>USD</v>
      </c>
      <c r="H135" s="570">
        <f ca="1">'Two Stage Value Driver Model'!R47</f>
        <v>4379465.0854245424</v>
      </c>
      <c r="I135" s="313">
        <f t="shared" si="3"/>
        <v>0.65356398515495484</v>
      </c>
      <c r="J135" s="314">
        <f t="shared" ca="1" si="4"/>
        <v>2862260.6540770489</v>
      </c>
      <c r="L135" s="178"/>
      <c r="M135" s="314"/>
      <c r="N135" s="314"/>
      <c r="O135" s="314"/>
      <c r="P135" s="314"/>
      <c r="Q135" s="314"/>
      <c r="S135" s="295"/>
      <c r="U135" s="137"/>
      <c r="V135" s="137"/>
      <c r="W135" s="137"/>
      <c r="X135" s="137"/>
      <c r="Y135" s="137"/>
      <c r="Z135" s="137"/>
    </row>
    <row r="136" spans="1:26" s="19" customFormat="1" ht="15" customHeight="1" x14ac:dyDescent="0.35">
      <c r="A136" s="137"/>
      <c r="B136" s="30"/>
      <c r="C136" s="646"/>
      <c r="D136" s="252"/>
      <c r="E136" s="252"/>
      <c r="F136" s="252"/>
      <c r="G136" s="312"/>
      <c r="H136" s="99"/>
      <c r="I136" s="306"/>
      <c r="J136" s="314"/>
      <c r="M136" s="314"/>
      <c r="N136" s="314"/>
      <c r="O136" s="314"/>
      <c r="P136" s="314"/>
      <c r="Q136" s="314"/>
      <c r="S136" s="295"/>
      <c r="U136" s="137"/>
      <c r="V136" s="137"/>
      <c r="W136" s="137"/>
      <c r="X136" s="137"/>
      <c r="Y136" s="137"/>
      <c r="Z136" s="137"/>
    </row>
    <row r="137" spans="1:26" s="19" customFormat="1" ht="15" customHeight="1" x14ac:dyDescent="0.35">
      <c r="A137" s="137"/>
      <c r="B137" s="30"/>
      <c r="C137" s="66" t="s">
        <v>190</v>
      </c>
      <c r="F137" s="18"/>
      <c r="G137" s="179"/>
      <c r="H137" s="178"/>
      <c r="I137" s="306"/>
      <c r="J137" s="178"/>
      <c r="L137" s="314"/>
      <c r="M137" s="314"/>
      <c r="N137" s="314"/>
      <c r="O137" s="314"/>
      <c r="P137" s="314"/>
      <c r="Q137" s="314"/>
      <c r="S137" s="295"/>
      <c r="U137" s="137"/>
      <c r="V137" s="137"/>
      <c r="W137" s="137"/>
      <c r="X137" s="137"/>
      <c r="Y137" s="137"/>
      <c r="Z137" s="137"/>
    </row>
    <row r="138" spans="1:26" s="19" customFormat="1" ht="15" customHeight="1" x14ac:dyDescent="0.35">
      <c r="A138" s="137"/>
      <c r="B138" s="30"/>
      <c r="C138" s="315" t="str">
        <f>'Executive Summary'!$P$81</f>
        <v>Two Stage Value Driver</v>
      </c>
      <c r="D138" s="316"/>
      <c r="E138" s="316"/>
      <c r="F138" s="317"/>
      <c r="G138" s="318" t="str">
        <f>Assumptions!$G$14</f>
        <v>USD</v>
      </c>
      <c r="H138" s="319">
        <f ca="1">IFERROR(INDEX('Terminal Value'!H126:H136,MATCH('Terminal Value'!C138,'Terminal Value'!C126:C136,0)),0)</f>
        <v>4379465.0854245424</v>
      </c>
      <c r="I138" s="320">
        <f>DCF!R37</f>
        <v>0.65356398515495484</v>
      </c>
      <c r="J138" s="658">
        <f ca="1">H138*I138</f>
        <v>2862260.6540770489</v>
      </c>
      <c r="L138" s="314"/>
      <c r="M138" s="314"/>
      <c r="N138" s="314"/>
      <c r="O138" s="314"/>
      <c r="P138" s="314"/>
      <c r="Q138" s="314"/>
      <c r="S138" s="295"/>
      <c r="U138" s="137"/>
      <c r="V138" s="137"/>
      <c r="W138" s="137"/>
      <c r="X138" s="137"/>
      <c r="Y138" s="137"/>
      <c r="Z138" s="137"/>
    </row>
    <row r="139" spans="1:26" s="19" customFormat="1" ht="15" customHeight="1" x14ac:dyDescent="0.35">
      <c r="A139" s="137"/>
      <c r="B139" s="30"/>
      <c r="C139" s="321"/>
      <c r="D139" s="321"/>
      <c r="E139" s="321"/>
      <c r="F139" s="297"/>
      <c r="G139" s="322"/>
      <c r="H139" s="323"/>
      <c r="I139" s="66"/>
      <c r="J139" s="324"/>
      <c r="K139" s="298"/>
      <c r="L139" s="314"/>
      <c r="M139" s="314"/>
      <c r="N139" s="314"/>
      <c r="O139" s="314"/>
      <c r="P139" s="314"/>
      <c r="Q139" s="314"/>
      <c r="S139" s="295"/>
      <c r="U139" s="137"/>
      <c r="V139" s="137"/>
      <c r="W139" s="137"/>
      <c r="X139" s="137"/>
      <c r="Y139" s="137"/>
      <c r="Z139" s="137"/>
    </row>
    <row r="140" spans="1:26" s="19" customFormat="1" ht="15" customHeight="1" x14ac:dyDescent="0.35">
      <c r="A140" s="137"/>
      <c r="B140" s="30"/>
      <c r="C140" s="321"/>
      <c r="D140" s="321"/>
      <c r="E140" s="321"/>
      <c r="F140" s="297"/>
      <c r="G140" s="322"/>
      <c r="H140" s="323"/>
      <c r="I140" s="66"/>
      <c r="J140" s="324"/>
      <c r="K140" s="298"/>
      <c r="L140" s="314"/>
      <c r="M140" s="314"/>
      <c r="N140" s="314"/>
      <c r="O140" s="314"/>
      <c r="P140" s="314"/>
      <c r="Q140" s="314"/>
      <c r="S140" s="295"/>
      <c r="U140" s="137"/>
      <c r="V140" s="137"/>
      <c r="W140" s="137"/>
      <c r="X140" s="137"/>
      <c r="Y140" s="137"/>
      <c r="Z140" s="137"/>
    </row>
    <row r="141" spans="1:26" s="19" customFormat="1" ht="15" customHeight="1" x14ac:dyDescent="0.35">
      <c r="A141" s="137"/>
      <c r="B141" s="30"/>
      <c r="C141" s="321"/>
      <c r="D141" s="321"/>
      <c r="E141" s="321"/>
      <c r="F141" s="297"/>
      <c r="G141" s="322"/>
      <c r="H141" s="323"/>
      <c r="I141" s="66"/>
      <c r="J141" s="324"/>
      <c r="K141" s="298"/>
      <c r="M141" s="314"/>
      <c r="N141" s="314"/>
      <c r="O141" s="314"/>
      <c r="P141" s="314"/>
      <c r="Q141" s="314"/>
      <c r="S141" s="295"/>
      <c r="U141" s="137"/>
      <c r="V141" s="137"/>
      <c r="W141" s="137"/>
      <c r="X141" s="137"/>
      <c r="Y141" s="137"/>
      <c r="Z141" s="137"/>
    </row>
    <row r="142" spans="1:26" s="19" customFormat="1" ht="15" customHeight="1" x14ac:dyDescent="0.35">
      <c r="A142" s="137"/>
      <c r="B142" s="325"/>
      <c r="C142" s="301"/>
      <c r="D142" s="301"/>
      <c r="E142" s="301"/>
      <c r="F142" s="301"/>
      <c r="G142" s="301"/>
      <c r="H142" s="301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7"/>
      <c r="U142" s="137"/>
      <c r="V142" s="137"/>
      <c r="W142" s="137"/>
      <c r="X142" s="137"/>
      <c r="Y142" s="137"/>
      <c r="Z142" s="137"/>
    </row>
    <row r="143" spans="1:26" s="19" customFormat="1" ht="15" customHeight="1" x14ac:dyDescent="0.35">
      <c r="A143" s="137"/>
      <c r="C143" s="292"/>
      <c r="D143" s="292"/>
      <c r="E143" s="292"/>
      <c r="F143" s="252"/>
      <c r="G143" s="252"/>
      <c r="H143" s="252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137"/>
      <c r="V143" s="137"/>
      <c r="W143" s="137"/>
      <c r="X143" s="137"/>
      <c r="Y143" s="137"/>
      <c r="Z143" s="137"/>
    </row>
    <row r="144" spans="1:26" s="19" customFormat="1" ht="15" customHeight="1" x14ac:dyDescent="0.35">
      <c r="A144" s="137"/>
      <c r="C144" s="292"/>
      <c r="D144" s="292"/>
      <c r="E144" s="292"/>
      <c r="F144" s="252"/>
      <c r="G144" s="252"/>
      <c r="H144" s="252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137"/>
      <c r="V144" s="137"/>
      <c r="W144" s="137"/>
      <c r="X144" s="137"/>
      <c r="Y144" s="137"/>
      <c r="Z144" s="137"/>
    </row>
    <row r="145" spans="1:26" s="19" customFormat="1" ht="15" customHeight="1" x14ac:dyDescent="0.35">
      <c r="A145" s="137"/>
      <c r="C145" s="292"/>
      <c r="D145" s="292"/>
      <c r="E145" s="292"/>
      <c r="F145" s="252"/>
      <c r="G145" s="252"/>
      <c r="H145" s="252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137"/>
      <c r="V145" s="137"/>
      <c r="W145" s="137"/>
      <c r="X145" s="137"/>
      <c r="Y145" s="137"/>
      <c r="Z145" s="137"/>
    </row>
    <row r="146" spans="1:26" s="19" customFormat="1" ht="15" customHeight="1" x14ac:dyDescent="0.35">
      <c r="A146" s="137"/>
      <c r="C146" s="328"/>
      <c r="D146" s="328"/>
      <c r="E146" s="328"/>
      <c r="F146" s="252"/>
      <c r="G146" s="252"/>
      <c r="H146" s="252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</row>
    <row r="147" spans="1:26" ht="15" customHeight="1" x14ac:dyDescent="0.35">
      <c r="A147" s="137"/>
      <c r="B147" s="137"/>
      <c r="C147" s="329"/>
      <c r="D147" s="329"/>
      <c r="E147" s="329"/>
      <c r="F147" s="9"/>
      <c r="G147" s="9"/>
      <c r="H147" s="9"/>
      <c r="I147" s="9"/>
      <c r="M147" s="9"/>
    </row>
    <row r="148" spans="1:26" s="18" customFormat="1" ht="15" customHeight="1" x14ac:dyDescent="0.35">
      <c r="F148" s="241"/>
      <c r="G148" s="241"/>
      <c r="H148" s="241"/>
      <c r="I148" s="241"/>
      <c r="V148" s="137"/>
    </row>
    <row r="164" spans="8:8" ht="15" customHeight="1" x14ac:dyDescent="0.35">
      <c r="H164" s="126"/>
    </row>
    <row r="165" spans="8:8" ht="15" customHeight="1" x14ac:dyDescent="0.35">
      <c r="H165" s="126"/>
    </row>
    <row r="166" spans="8:8" ht="15" customHeight="1" x14ac:dyDescent="0.35">
      <c r="H166" s="126"/>
    </row>
    <row r="167" spans="8:8" ht="15" customHeight="1" x14ac:dyDescent="0.35">
      <c r="H167" s="126"/>
    </row>
    <row r="168" spans="8:8" ht="15" customHeight="1" x14ac:dyDescent="0.35">
      <c r="H168" s="126"/>
    </row>
    <row r="169" spans="8:8" ht="15" customHeight="1" x14ac:dyDescent="0.35">
      <c r="H169" s="126"/>
    </row>
    <row r="170" spans="8:8" ht="15" customHeight="1" x14ac:dyDescent="0.35">
      <c r="H170" s="126"/>
    </row>
    <row r="171" spans="8:8" ht="15" customHeight="1" x14ac:dyDescent="0.35">
      <c r="H171" s="126"/>
    </row>
    <row r="172" spans="8:8" ht="15" customHeight="1" x14ac:dyDescent="0.35">
      <c r="H172" s="126"/>
    </row>
  </sheetData>
  <printOptions horizontalCentered="1"/>
  <pageMargins left="0.5" right="0.5" top="0.5" bottom="0.5" header="0.3" footer="0.3"/>
  <pageSetup paperSize="9" scale="19" orientation="portrait" r:id="rId1"/>
  <headerFooter>
    <oddFooter>&amp;L&amp;"Calibri,Regular"&amp;K000000Strictly private and confidential&amp;C&amp;"Calibri,Regular"&amp;K000000Page &amp;P of &amp;N&amp;R&amp;"Helvetica,Regular"&amp;12&amp;K000000&amp;F</oddFooter>
  </headerFooter>
  <rowBreaks count="1" manualBreakCount="1">
    <brk id="81" max="16383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BBA9-D50B-B042-844D-7FAB979EA455}">
  <sheetPr>
    <tabColor rgb="FF258A6E"/>
    <pageSetUpPr fitToPage="1"/>
  </sheetPr>
  <dimension ref="A1:AZ120"/>
  <sheetViews>
    <sheetView showGridLines="0" zoomScale="80" zoomScaleNormal="80" zoomScaleSheetLayoutView="55" workbookViewId="0">
      <pane xSplit="10" ySplit="9" topLeftCell="AR10" activePane="bottomRight" state="frozen"/>
      <selection activeCell="C12" sqref="A1:XFD1048576"/>
      <selection pane="topRight" activeCell="C12" sqref="A1:XFD1048576"/>
      <selection pane="bottomLeft" activeCell="C12" sqref="A1:XFD1048576"/>
      <selection pane="bottomRight" activeCell="E2" sqref="E2"/>
    </sheetView>
  </sheetViews>
  <sheetFormatPr defaultColWidth="13" defaultRowHeight="15" customHeight="1" outlineLevelRow="1" outlineLevelCol="1" x14ac:dyDescent="0.35"/>
  <cols>
    <col min="1" max="1" width="4.58203125" style="18" customWidth="1"/>
    <col min="2" max="2" width="1.58203125" style="18" customWidth="1"/>
    <col min="3" max="4" width="13" style="18" customWidth="1"/>
    <col min="5" max="5" width="2" style="18" customWidth="1"/>
    <col min="6" max="6" width="6" style="18" customWidth="1"/>
    <col min="7" max="10" width="13" style="18" customWidth="1"/>
    <col min="11" max="12" width="1.4140625" style="18" customWidth="1"/>
    <col min="13" max="23" width="13" style="18" customWidth="1"/>
    <col min="24" max="24" width="13" style="137" customWidth="1"/>
    <col min="25" max="25" width="13" style="141" customWidth="1"/>
    <col min="26" max="48" width="13.58203125" style="137" bestFit="1" customWidth="1"/>
    <col min="49" max="49" width="3" style="137" customWidth="1"/>
    <col min="50" max="50" width="3" style="137" hidden="1" customWidth="1" outlineLevel="1"/>
    <col min="51" max="51" width="0" style="334" hidden="1" customWidth="1" outlineLevel="1"/>
    <col min="52" max="52" width="13" style="137" collapsed="1"/>
    <col min="53" max="16384" width="13" style="137"/>
  </cols>
  <sheetData>
    <row r="1" spans="1:51" s="18" customFormat="1" ht="15" customHeight="1" x14ac:dyDescent="0.35">
      <c r="W1" s="9"/>
      <c r="Y1" s="129"/>
      <c r="AY1" s="330"/>
    </row>
    <row r="2" spans="1:51" s="9" customFormat="1" ht="15" customHeight="1" x14ac:dyDescent="0.35">
      <c r="B2" s="245" t="str">
        <f>Title!$B$5</f>
        <v xml:space="preserve">DCF Valuation Model </v>
      </c>
      <c r="P2" s="14"/>
      <c r="Q2" s="14"/>
      <c r="R2" s="14"/>
      <c r="S2" s="14"/>
      <c r="T2" s="14"/>
      <c r="U2" s="14"/>
      <c r="V2" s="14"/>
      <c r="W2" s="331"/>
      <c r="AW2" s="131"/>
      <c r="AY2" s="332" t="s">
        <v>28</v>
      </c>
    </row>
    <row r="3" spans="1:51" s="9" customFormat="1" ht="1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699"/>
      <c r="Q3" s="699"/>
      <c r="R3" s="699"/>
      <c r="S3" s="699"/>
      <c r="T3" s="699"/>
      <c r="U3" s="699"/>
      <c r="V3" s="699"/>
      <c r="W3" s="712"/>
      <c r="X3" s="712"/>
      <c r="Y3" s="712"/>
      <c r="Z3" s="712"/>
      <c r="AA3" s="712"/>
      <c r="AB3" s="712"/>
      <c r="AC3" s="712"/>
      <c r="AD3" s="712"/>
      <c r="AE3" s="712"/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2"/>
      <c r="AS3" s="712"/>
      <c r="AT3" s="712"/>
      <c r="AU3" s="712"/>
      <c r="AV3" s="36"/>
      <c r="AW3" s="689"/>
      <c r="AY3" s="333">
        <f ca="1">SUM(AY5:AY794)</f>
        <v>0</v>
      </c>
    </row>
    <row r="4" spans="1:51" s="9" customFormat="1" ht="15" customHeight="1" x14ac:dyDescent="0.35"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Y4" s="330"/>
    </row>
    <row r="5" spans="1:51" s="9" customFormat="1" ht="20.399999999999999" x14ac:dyDescent="0.35">
      <c r="C5" s="136" t="str">
        <f>C7</f>
        <v>Two Stage Value Driver</v>
      </c>
      <c r="D5" s="136"/>
      <c r="E5" s="136"/>
      <c r="F5" s="136"/>
      <c r="G5" s="136"/>
      <c r="P5" s="14"/>
      <c r="Q5" s="14"/>
      <c r="R5" s="14"/>
      <c r="S5" s="14"/>
      <c r="T5" s="14"/>
      <c r="U5" s="14"/>
      <c r="V5" s="14"/>
      <c r="W5" s="14"/>
      <c r="Y5" s="129"/>
      <c r="AY5" s="330"/>
    </row>
    <row r="6" spans="1:51" ht="15" customHeight="1" x14ac:dyDescent="0.35">
      <c r="C6" s="247" t="str">
        <f>"All amounts in "&amp;Assumptions!$G$14</f>
        <v>All amounts in USD</v>
      </c>
      <c r="D6" s="247"/>
      <c r="E6" s="247"/>
      <c r="F6" s="247"/>
      <c r="G6" s="247"/>
      <c r="N6" s="195"/>
      <c r="O6" s="195"/>
      <c r="P6" s="195"/>
      <c r="Q6" s="195"/>
      <c r="R6" s="195"/>
      <c r="S6" s="195"/>
      <c r="T6" s="195"/>
      <c r="U6" s="195"/>
      <c r="V6" s="195"/>
      <c r="W6" s="195"/>
    </row>
    <row r="7" spans="1:51" s="13" customFormat="1" ht="15" customHeight="1" x14ac:dyDescent="0.35">
      <c r="A7" s="22">
        <v>1</v>
      </c>
      <c r="B7" s="196"/>
      <c r="C7" s="143" t="str">
        <f>Assumptions!K76</f>
        <v>Two Stage Value Driver</v>
      </c>
      <c r="D7" s="143"/>
      <c r="E7" s="143"/>
      <c r="F7" s="143"/>
      <c r="G7" s="143"/>
      <c r="H7" s="143"/>
      <c r="I7" s="143"/>
      <c r="J7" s="143"/>
      <c r="K7" s="143"/>
      <c r="L7" s="143"/>
      <c r="M7" s="144">
        <f ca="1">Financials!M$7</f>
        <v>2026</v>
      </c>
      <c r="N7" s="871">
        <f ca="1">Financials!O$7</f>
        <v>2027</v>
      </c>
      <c r="O7" s="871">
        <f ca="1">Financials!P$7</f>
        <v>2028</v>
      </c>
      <c r="P7" s="871">
        <f ca="1">Financials!Q$7</f>
        <v>2029</v>
      </c>
      <c r="Q7" s="871">
        <f ca="1">Financials!R$7</f>
        <v>2030</v>
      </c>
      <c r="R7" s="871">
        <f ca="1">Financials!S$7</f>
        <v>2031</v>
      </c>
      <c r="S7" s="871">
        <f t="shared" ref="S7:AV7" ca="1" si="0">R7+1</f>
        <v>2032</v>
      </c>
      <c r="T7" s="871">
        <f t="shared" ca="1" si="0"/>
        <v>2033</v>
      </c>
      <c r="U7" s="871">
        <f t="shared" ca="1" si="0"/>
        <v>2034</v>
      </c>
      <c r="V7" s="871">
        <f t="shared" ca="1" si="0"/>
        <v>2035</v>
      </c>
      <c r="W7" s="871">
        <f t="shared" ca="1" si="0"/>
        <v>2036</v>
      </c>
      <c r="X7" s="871">
        <f t="shared" ca="1" si="0"/>
        <v>2037</v>
      </c>
      <c r="Y7" s="871">
        <f t="shared" ca="1" si="0"/>
        <v>2038</v>
      </c>
      <c r="Z7" s="871">
        <f t="shared" ca="1" si="0"/>
        <v>2039</v>
      </c>
      <c r="AA7" s="871">
        <f t="shared" ca="1" si="0"/>
        <v>2040</v>
      </c>
      <c r="AB7" s="871">
        <f t="shared" ca="1" si="0"/>
        <v>2041</v>
      </c>
      <c r="AC7" s="871">
        <f t="shared" ca="1" si="0"/>
        <v>2042</v>
      </c>
      <c r="AD7" s="871">
        <f t="shared" ca="1" si="0"/>
        <v>2043</v>
      </c>
      <c r="AE7" s="871">
        <f t="shared" ca="1" si="0"/>
        <v>2044</v>
      </c>
      <c r="AF7" s="871">
        <f t="shared" ca="1" si="0"/>
        <v>2045</v>
      </c>
      <c r="AG7" s="871">
        <f t="shared" ca="1" si="0"/>
        <v>2046</v>
      </c>
      <c r="AH7" s="871">
        <f t="shared" ca="1" si="0"/>
        <v>2047</v>
      </c>
      <c r="AI7" s="871">
        <f t="shared" ca="1" si="0"/>
        <v>2048</v>
      </c>
      <c r="AJ7" s="871">
        <f t="shared" ca="1" si="0"/>
        <v>2049</v>
      </c>
      <c r="AK7" s="871">
        <f t="shared" ca="1" si="0"/>
        <v>2050</v>
      </c>
      <c r="AL7" s="871">
        <f t="shared" ca="1" si="0"/>
        <v>2051</v>
      </c>
      <c r="AM7" s="871">
        <f t="shared" ca="1" si="0"/>
        <v>2052</v>
      </c>
      <c r="AN7" s="871">
        <f t="shared" ca="1" si="0"/>
        <v>2053</v>
      </c>
      <c r="AO7" s="871">
        <f t="shared" ca="1" si="0"/>
        <v>2054</v>
      </c>
      <c r="AP7" s="871">
        <f t="shared" ca="1" si="0"/>
        <v>2055</v>
      </c>
      <c r="AQ7" s="871">
        <f t="shared" ca="1" si="0"/>
        <v>2056</v>
      </c>
      <c r="AR7" s="871">
        <f t="shared" ca="1" si="0"/>
        <v>2057</v>
      </c>
      <c r="AS7" s="871">
        <f t="shared" ca="1" si="0"/>
        <v>2058</v>
      </c>
      <c r="AT7" s="871">
        <f t="shared" ca="1" si="0"/>
        <v>2059</v>
      </c>
      <c r="AU7" s="871">
        <f t="shared" ca="1" si="0"/>
        <v>2060</v>
      </c>
      <c r="AV7" s="871">
        <f t="shared" ca="1" si="0"/>
        <v>2061</v>
      </c>
      <c r="AW7" s="143"/>
      <c r="AY7" s="335"/>
    </row>
    <row r="8" spans="1:51" s="303" customFormat="1" ht="15" customHeight="1" x14ac:dyDescent="0.35">
      <c r="B8" s="858"/>
      <c r="C8" s="148" t="s">
        <v>46</v>
      </c>
      <c r="D8" s="148"/>
      <c r="E8" s="148"/>
      <c r="F8" s="148"/>
      <c r="G8" s="148"/>
      <c r="H8" s="148"/>
      <c r="I8" s="148"/>
      <c r="J8" s="148"/>
      <c r="K8" s="148"/>
      <c r="L8" s="148"/>
      <c r="M8" s="151">
        <f>Financials!M$8</f>
        <v>0</v>
      </c>
      <c r="N8" s="150">
        <f>Financials!O$8</f>
        <v>1</v>
      </c>
      <c r="O8" s="150">
        <f>Financials!P$8</f>
        <v>2</v>
      </c>
      <c r="P8" s="150">
        <f>Financials!Q$8</f>
        <v>3</v>
      </c>
      <c r="Q8" s="150">
        <f>Financials!R$8</f>
        <v>4</v>
      </c>
      <c r="R8" s="150">
        <f>Financials!S$8</f>
        <v>5</v>
      </c>
      <c r="S8" s="150">
        <f t="shared" ref="S8:AV8" si="1">R8+1</f>
        <v>6</v>
      </c>
      <c r="T8" s="150">
        <f t="shared" si="1"/>
        <v>7</v>
      </c>
      <c r="U8" s="150">
        <f t="shared" si="1"/>
        <v>8</v>
      </c>
      <c r="V8" s="150">
        <f t="shared" si="1"/>
        <v>9</v>
      </c>
      <c r="W8" s="150">
        <f t="shared" si="1"/>
        <v>10</v>
      </c>
      <c r="X8" s="150">
        <f t="shared" si="1"/>
        <v>11</v>
      </c>
      <c r="Y8" s="150">
        <f t="shared" si="1"/>
        <v>12</v>
      </c>
      <c r="Z8" s="150">
        <f t="shared" si="1"/>
        <v>13</v>
      </c>
      <c r="AA8" s="150">
        <f t="shared" si="1"/>
        <v>14</v>
      </c>
      <c r="AB8" s="150">
        <f t="shared" si="1"/>
        <v>15</v>
      </c>
      <c r="AC8" s="150">
        <f t="shared" si="1"/>
        <v>16</v>
      </c>
      <c r="AD8" s="150">
        <f t="shared" si="1"/>
        <v>17</v>
      </c>
      <c r="AE8" s="150">
        <f t="shared" si="1"/>
        <v>18</v>
      </c>
      <c r="AF8" s="150">
        <f t="shared" si="1"/>
        <v>19</v>
      </c>
      <c r="AG8" s="150">
        <f t="shared" si="1"/>
        <v>20</v>
      </c>
      <c r="AH8" s="150">
        <f t="shared" si="1"/>
        <v>21</v>
      </c>
      <c r="AI8" s="150">
        <f t="shared" si="1"/>
        <v>22</v>
      </c>
      <c r="AJ8" s="150">
        <f t="shared" si="1"/>
        <v>23</v>
      </c>
      <c r="AK8" s="150">
        <f t="shared" si="1"/>
        <v>24</v>
      </c>
      <c r="AL8" s="150">
        <f t="shared" si="1"/>
        <v>25</v>
      </c>
      <c r="AM8" s="150">
        <f t="shared" si="1"/>
        <v>26</v>
      </c>
      <c r="AN8" s="150">
        <f t="shared" si="1"/>
        <v>27</v>
      </c>
      <c r="AO8" s="150">
        <f t="shared" si="1"/>
        <v>28</v>
      </c>
      <c r="AP8" s="150">
        <f t="shared" si="1"/>
        <v>29</v>
      </c>
      <c r="AQ8" s="150">
        <f t="shared" si="1"/>
        <v>30</v>
      </c>
      <c r="AR8" s="150">
        <f t="shared" si="1"/>
        <v>31</v>
      </c>
      <c r="AS8" s="150">
        <f t="shared" si="1"/>
        <v>32</v>
      </c>
      <c r="AT8" s="150">
        <f t="shared" si="1"/>
        <v>33</v>
      </c>
      <c r="AU8" s="150">
        <f t="shared" si="1"/>
        <v>34</v>
      </c>
      <c r="AV8" s="150">
        <f t="shared" si="1"/>
        <v>35</v>
      </c>
      <c r="AW8" s="152"/>
      <c r="AY8" s="352"/>
    </row>
    <row r="9" spans="1:51" s="303" customFormat="1" ht="15" customHeight="1" x14ac:dyDescent="0.35">
      <c r="B9" s="858"/>
      <c r="C9" s="148" t="s">
        <v>196</v>
      </c>
      <c r="D9" s="148"/>
      <c r="E9" s="148"/>
      <c r="F9" s="148"/>
      <c r="G9" s="148"/>
      <c r="H9" s="148"/>
      <c r="I9" s="148"/>
      <c r="J9" s="148"/>
      <c r="K9" s="148"/>
      <c r="L9" s="148"/>
      <c r="M9" s="151"/>
      <c r="N9" s="150"/>
      <c r="O9" s="150"/>
      <c r="P9" s="150"/>
      <c r="Q9" s="150"/>
      <c r="R9" s="150"/>
      <c r="S9" s="336">
        <v>1</v>
      </c>
      <c r="T9" s="337">
        <f t="shared" ref="T9:AV9" si="2">S9+1</f>
        <v>2</v>
      </c>
      <c r="U9" s="337">
        <f t="shared" si="2"/>
        <v>3</v>
      </c>
      <c r="V9" s="337">
        <f t="shared" si="2"/>
        <v>4</v>
      </c>
      <c r="W9" s="337">
        <f t="shared" si="2"/>
        <v>5</v>
      </c>
      <c r="X9" s="337">
        <f t="shared" si="2"/>
        <v>6</v>
      </c>
      <c r="Y9" s="337">
        <f t="shared" si="2"/>
        <v>7</v>
      </c>
      <c r="Z9" s="337">
        <f t="shared" si="2"/>
        <v>8</v>
      </c>
      <c r="AA9" s="337">
        <f t="shared" si="2"/>
        <v>9</v>
      </c>
      <c r="AB9" s="337">
        <f t="shared" si="2"/>
        <v>10</v>
      </c>
      <c r="AC9" s="337">
        <f t="shared" si="2"/>
        <v>11</v>
      </c>
      <c r="AD9" s="337">
        <f t="shared" si="2"/>
        <v>12</v>
      </c>
      <c r="AE9" s="337">
        <f t="shared" si="2"/>
        <v>13</v>
      </c>
      <c r="AF9" s="337">
        <f t="shared" si="2"/>
        <v>14</v>
      </c>
      <c r="AG9" s="337">
        <f t="shared" si="2"/>
        <v>15</v>
      </c>
      <c r="AH9" s="337">
        <f t="shared" si="2"/>
        <v>16</v>
      </c>
      <c r="AI9" s="337">
        <f t="shared" si="2"/>
        <v>17</v>
      </c>
      <c r="AJ9" s="337">
        <f t="shared" si="2"/>
        <v>18</v>
      </c>
      <c r="AK9" s="337">
        <f t="shared" si="2"/>
        <v>19</v>
      </c>
      <c r="AL9" s="337">
        <f t="shared" si="2"/>
        <v>20</v>
      </c>
      <c r="AM9" s="337">
        <f t="shared" si="2"/>
        <v>21</v>
      </c>
      <c r="AN9" s="337">
        <f t="shared" si="2"/>
        <v>22</v>
      </c>
      <c r="AO9" s="337">
        <f t="shared" si="2"/>
        <v>23</v>
      </c>
      <c r="AP9" s="337">
        <f t="shared" si="2"/>
        <v>24</v>
      </c>
      <c r="AQ9" s="337">
        <f t="shared" si="2"/>
        <v>25</v>
      </c>
      <c r="AR9" s="337">
        <f t="shared" si="2"/>
        <v>26</v>
      </c>
      <c r="AS9" s="337">
        <f t="shared" si="2"/>
        <v>27</v>
      </c>
      <c r="AT9" s="337">
        <f t="shared" si="2"/>
        <v>28</v>
      </c>
      <c r="AU9" s="337">
        <f t="shared" si="2"/>
        <v>29</v>
      </c>
      <c r="AV9" s="337">
        <f t="shared" si="2"/>
        <v>30</v>
      </c>
      <c r="AW9" s="338"/>
      <c r="AY9" s="352"/>
    </row>
    <row r="10" spans="1:51" ht="15" customHeight="1" x14ac:dyDescent="0.35">
      <c r="B10" s="160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Y10" s="137"/>
      <c r="AW10" s="168"/>
    </row>
    <row r="11" spans="1:51" ht="15" customHeight="1" x14ac:dyDescent="0.35">
      <c r="B11" s="160"/>
      <c r="C11" s="169" t="str">
        <f>Assumptions!R85</f>
        <v>ROCE Stage I</v>
      </c>
      <c r="D11" s="169"/>
      <c r="E11" s="169"/>
      <c r="F11" s="169"/>
      <c r="G11" s="169"/>
      <c r="H11" s="169"/>
      <c r="I11" s="169"/>
      <c r="J11" s="169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Y11" s="137"/>
      <c r="AW11" s="168"/>
    </row>
    <row r="12" spans="1:51" ht="15" customHeight="1" x14ac:dyDescent="0.35">
      <c r="B12" s="160"/>
      <c r="C12" s="18" t="str">
        <f>Assumptions!$K$99</f>
        <v>ROIC</v>
      </c>
      <c r="D12" s="18" t="str">
        <f>Assumptions!R86</f>
        <v>Steady Decline</v>
      </c>
      <c r="G12" s="21" t="s">
        <v>209</v>
      </c>
      <c r="I12" s="339">
        <f ca="1">($I$60-$J$60)/($I$54)</f>
        <v>4.2373199769989177E-2</v>
      </c>
      <c r="J12" s="137" t="s">
        <v>17</v>
      </c>
      <c r="K12" s="137"/>
      <c r="L12" s="137"/>
      <c r="N12" s="283">
        <f t="shared" ref="N12:R14" ca="1" si="3">N$15</f>
        <v>0.28761379679436305</v>
      </c>
      <c r="O12" s="283">
        <f t="shared" ca="1" si="3"/>
        <v>0.44169988538212279</v>
      </c>
      <c r="P12" s="283">
        <f t="shared" ca="1" si="3"/>
        <v>0.58709386911585382</v>
      </c>
      <c r="Q12" s="283">
        <f t="shared" ca="1" si="3"/>
        <v>0.66768040201824275</v>
      </c>
      <c r="R12" s="283">
        <f t="shared" ca="1" si="3"/>
        <v>0.73472299654983764</v>
      </c>
      <c r="S12" s="340">
        <f ca="1">IF(S$9&lt;$I$54,I60-$I12,$J$60)</f>
        <v>0.69234979677984843</v>
      </c>
      <c r="T12" s="283">
        <f t="shared" ref="T12:AV12" ca="1" si="4">IF(T$9&lt;$I$54,S12-$I12,$J$60)</f>
        <v>0.64997659700985921</v>
      </c>
      <c r="U12" s="283">
        <f t="shared" ca="1" si="4"/>
        <v>0.60760339723987</v>
      </c>
      <c r="V12" s="283">
        <f t="shared" ca="1" si="4"/>
        <v>0.56523019746988079</v>
      </c>
      <c r="W12" s="283">
        <f t="shared" ca="1" si="4"/>
        <v>0.52285699769989158</v>
      </c>
      <c r="X12" s="283">
        <f t="shared" ca="1" si="4"/>
        <v>0.48048379792990242</v>
      </c>
      <c r="Y12" s="283">
        <f t="shared" ca="1" si="4"/>
        <v>0.43811059815991327</v>
      </c>
      <c r="Z12" s="283">
        <f t="shared" ca="1" si="4"/>
        <v>0.39573739838992411</v>
      </c>
      <c r="AA12" s="283">
        <f t="shared" ca="1" si="4"/>
        <v>0.35336419861993495</v>
      </c>
      <c r="AB12" s="283">
        <f t="shared" ca="1" si="4"/>
        <v>0.3109909988499458</v>
      </c>
      <c r="AC12" s="283">
        <f t="shared" ca="1" si="4"/>
        <v>0.26861779907995664</v>
      </c>
      <c r="AD12" s="283">
        <f t="shared" ca="1" si="4"/>
        <v>0.22624459930996746</v>
      </c>
      <c r="AE12" s="283">
        <f t="shared" ca="1" si="4"/>
        <v>0.18387139953997828</v>
      </c>
      <c r="AF12" s="283">
        <f t="shared" ca="1" si="4"/>
        <v>0.14149819976998909</v>
      </c>
      <c r="AG12" s="283">
        <f t="shared" si="4"/>
        <v>9.9124999999999991E-2</v>
      </c>
      <c r="AH12" s="283">
        <f t="shared" si="4"/>
        <v>9.9124999999999991E-2</v>
      </c>
      <c r="AI12" s="283">
        <f t="shared" si="4"/>
        <v>9.9124999999999991E-2</v>
      </c>
      <c r="AJ12" s="283">
        <f t="shared" si="4"/>
        <v>9.9124999999999991E-2</v>
      </c>
      <c r="AK12" s="283">
        <f t="shared" si="4"/>
        <v>9.9124999999999991E-2</v>
      </c>
      <c r="AL12" s="283">
        <f t="shared" si="4"/>
        <v>9.9124999999999991E-2</v>
      </c>
      <c r="AM12" s="283">
        <f t="shared" si="4"/>
        <v>9.9124999999999991E-2</v>
      </c>
      <c r="AN12" s="283">
        <f t="shared" si="4"/>
        <v>9.9124999999999991E-2</v>
      </c>
      <c r="AO12" s="283">
        <f t="shared" si="4"/>
        <v>9.9124999999999991E-2</v>
      </c>
      <c r="AP12" s="283">
        <f t="shared" si="4"/>
        <v>9.9124999999999991E-2</v>
      </c>
      <c r="AQ12" s="283">
        <f t="shared" si="4"/>
        <v>9.9124999999999991E-2</v>
      </c>
      <c r="AR12" s="283">
        <f t="shared" si="4"/>
        <v>9.9124999999999991E-2</v>
      </c>
      <c r="AS12" s="283">
        <f t="shared" si="4"/>
        <v>9.9124999999999991E-2</v>
      </c>
      <c r="AT12" s="283">
        <f t="shared" si="4"/>
        <v>9.9124999999999991E-2</v>
      </c>
      <c r="AU12" s="283">
        <f t="shared" si="4"/>
        <v>9.9124999999999991E-2</v>
      </c>
      <c r="AV12" s="283">
        <f t="shared" si="4"/>
        <v>9.9124999999999991E-2</v>
      </c>
      <c r="AW12" s="168"/>
    </row>
    <row r="13" spans="1:51" ht="15" customHeight="1" x14ac:dyDescent="0.35">
      <c r="B13" s="160"/>
      <c r="C13" s="18" t="str">
        <f>Assumptions!$K$99</f>
        <v>ROIC</v>
      </c>
      <c r="D13" s="137" t="str">
        <f>Assumptions!R87</f>
        <v>Exponential Decline</v>
      </c>
      <c r="E13" s="137"/>
      <c r="F13" s="137"/>
      <c r="G13" s="21" t="s">
        <v>210</v>
      </c>
      <c r="I13" s="341">
        <f ca="1">($I$60-$J$60)/(($I$54)^2)</f>
        <v>2.8248799846659449E-3</v>
      </c>
      <c r="J13" s="137" t="s">
        <v>17</v>
      </c>
      <c r="K13" s="137"/>
      <c r="L13" s="137"/>
      <c r="N13" s="283">
        <f t="shared" ca="1" si="3"/>
        <v>0.28761379679436305</v>
      </c>
      <c r="O13" s="283">
        <f t="shared" ca="1" si="3"/>
        <v>0.44169988538212279</v>
      </c>
      <c r="P13" s="283">
        <f t="shared" ca="1" si="3"/>
        <v>0.58709386911585382</v>
      </c>
      <c r="Q13" s="283">
        <f t="shared" ca="1" si="3"/>
        <v>0.66768040201824275</v>
      </c>
      <c r="R13" s="283">
        <f t="shared" ca="1" si="3"/>
        <v>0.73472299654983764</v>
      </c>
      <c r="S13" s="340">
        <f t="shared" ref="S13:AV13" ca="1" si="5">IF(S$9&lt;$I$54,$I$60-$I13*(S9^2),$J$60)</f>
        <v>0.73189811656517167</v>
      </c>
      <c r="T13" s="283">
        <f t="shared" ca="1" si="5"/>
        <v>0.7234234766111739</v>
      </c>
      <c r="U13" s="283">
        <f t="shared" ca="1" si="5"/>
        <v>0.70929907668784409</v>
      </c>
      <c r="V13" s="283">
        <f t="shared" ca="1" si="5"/>
        <v>0.68952491679518246</v>
      </c>
      <c r="W13" s="283">
        <f t="shared" ca="1" si="5"/>
        <v>0.66410099693318903</v>
      </c>
      <c r="X13" s="283">
        <f t="shared" ca="1" si="5"/>
        <v>0.63302731710186366</v>
      </c>
      <c r="Y13" s="283">
        <f t="shared" ca="1" si="5"/>
        <v>0.59630387730120638</v>
      </c>
      <c r="Z13" s="283">
        <f t="shared" ca="1" si="5"/>
        <v>0.55393067753121716</v>
      </c>
      <c r="AA13" s="283">
        <f t="shared" ca="1" si="5"/>
        <v>0.50590771779189614</v>
      </c>
      <c r="AB13" s="283">
        <f t="shared" ca="1" si="5"/>
        <v>0.45223499808324313</v>
      </c>
      <c r="AC13" s="283">
        <f t="shared" ca="1" si="5"/>
        <v>0.39291251840525832</v>
      </c>
      <c r="AD13" s="283">
        <f t="shared" ca="1" si="5"/>
        <v>0.32794027875794157</v>
      </c>
      <c r="AE13" s="283">
        <f t="shared" ca="1" si="5"/>
        <v>0.25731827914129296</v>
      </c>
      <c r="AF13" s="283">
        <f t="shared" ca="1" si="5"/>
        <v>0.18104651955531248</v>
      </c>
      <c r="AG13" s="283">
        <f t="shared" si="5"/>
        <v>9.9124999999999991E-2</v>
      </c>
      <c r="AH13" s="283">
        <f t="shared" si="5"/>
        <v>9.9124999999999991E-2</v>
      </c>
      <c r="AI13" s="283">
        <f t="shared" si="5"/>
        <v>9.9124999999999991E-2</v>
      </c>
      <c r="AJ13" s="283">
        <f t="shared" si="5"/>
        <v>9.9124999999999991E-2</v>
      </c>
      <c r="AK13" s="283">
        <f t="shared" si="5"/>
        <v>9.9124999999999991E-2</v>
      </c>
      <c r="AL13" s="283">
        <f t="shared" si="5"/>
        <v>9.9124999999999991E-2</v>
      </c>
      <c r="AM13" s="283">
        <f t="shared" si="5"/>
        <v>9.9124999999999991E-2</v>
      </c>
      <c r="AN13" s="283">
        <f t="shared" si="5"/>
        <v>9.9124999999999991E-2</v>
      </c>
      <c r="AO13" s="283">
        <f t="shared" si="5"/>
        <v>9.9124999999999991E-2</v>
      </c>
      <c r="AP13" s="283">
        <f t="shared" si="5"/>
        <v>9.9124999999999991E-2</v>
      </c>
      <c r="AQ13" s="283">
        <f t="shared" si="5"/>
        <v>9.9124999999999991E-2</v>
      </c>
      <c r="AR13" s="283">
        <f t="shared" si="5"/>
        <v>9.9124999999999991E-2</v>
      </c>
      <c r="AS13" s="283">
        <f t="shared" si="5"/>
        <v>9.9124999999999991E-2</v>
      </c>
      <c r="AT13" s="283">
        <f t="shared" si="5"/>
        <v>9.9124999999999991E-2</v>
      </c>
      <c r="AU13" s="283">
        <f t="shared" si="5"/>
        <v>9.9124999999999991E-2</v>
      </c>
      <c r="AV13" s="283">
        <f t="shared" si="5"/>
        <v>9.9124999999999991E-2</v>
      </c>
      <c r="AW13" s="168"/>
    </row>
    <row r="14" spans="1:51" ht="15" customHeight="1" x14ac:dyDescent="0.35">
      <c r="B14" s="160"/>
      <c r="C14" s="18" t="str">
        <f>Assumptions!$K$99</f>
        <v>ROIC</v>
      </c>
      <c r="D14" s="137" t="str">
        <f>Assumptions!R88</f>
        <v>Decline Jump at End</v>
      </c>
      <c r="E14" s="137"/>
      <c r="F14" s="137"/>
      <c r="G14" s="137"/>
      <c r="J14" s="193"/>
      <c r="K14" s="193"/>
      <c r="L14" s="193"/>
      <c r="M14" s="193"/>
      <c r="N14" s="283">
        <f t="shared" ca="1" si="3"/>
        <v>0.28761379679436305</v>
      </c>
      <c r="O14" s="283">
        <f t="shared" ca="1" si="3"/>
        <v>0.44169988538212279</v>
      </c>
      <c r="P14" s="283">
        <f t="shared" ca="1" si="3"/>
        <v>0.58709386911585382</v>
      </c>
      <c r="Q14" s="283">
        <f t="shared" ca="1" si="3"/>
        <v>0.66768040201824275</v>
      </c>
      <c r="R14" s="283">
        <f t="shared" ca="1" si="3"/>
        <v>0.73472299654983764</v>
      </c>
      <c r="S14" s="283">
        <f t="shared" ref="S14:AV14" ca="1" si="6">IF(S$9&lt;$I$54,$I$60,$J$60)</f>
        <v>0.73472299654983764</v>
      </c>
      <c r="T14" s="283">
        <f t="shared" ca="1" si="6"/>
        <v>0.73472299654983764</v>
      </c>
      <c r="U14" s="283">
        <f t="shared" ca="1" si="6"/>
        <v>0.73472299654983764</v>
      </c>
      <c r="V14" s="283">
        <f t="shared" ca="1" si="6"/>
        <v>0.73472299654983764</v>
      </c>
      <c r="W14" s="283">
        <f t="shared" ca="1" si="6"/>
        <v>0.73472299654983764</v>
      </c>
      <c r="X14" s="283">
        <f t="shared" ca="1" si="6"/>
        <v>0.73472299654983764</v>
      </c>
      <c r="Y14" s="283">
        <f t="shared" ca="1" si="6"/>
        <v>0.73472299654983764</v>
      </c>
      <c r="Z14" s="283">
        <f t="shared" ca="1" si="6"/>
        <v>0.73472299654983764</v>
      </c>
      <c r="AA14" s="283">
        <f t="shared" ca="1" si="6"/>
        <v>0.73472299654983764</v>
      </c>
      <c r="AB14" s="283">
        <f t="shared" ca="1" si="6"/>
        <v>0.73472299654983764</v>
      </c>
      <c r="AC14" s="283">
        <f t="shared" ca="1" si="6"/>
        <v>0.73472299654983764</v>
      </c>
      <c r="AD14" s="283">
        <f t="shared" ca="1" si="6"/>
        <v>0.73472299654983764</v>
      </c>
      <c r="AE14" s="283">
        <f t="shared" ca="1" si="6"/>
        <v>0.73472299654983764</v>
      </c>
      <c r="AF14" s="283">
        <f t="shared" ca="1" si="6"/>
        <v>0.73472299654983764</v>
      </c>
      <c r="AG14" s="283">
        <f t="shared" si="6"/>
        <v>9.9124999999999991E-2</v>
      </c>
      <c r="AH14" s="283">
        <f t="shared" si="6"/>
        <v>9.9124999999999991E-2</v>
      </c>
      <c r="AI14" s="283">
        <f t="shared" si="6"/>
        <v>9.9124999999999991E-2</v>
      </c>
      <c r="AJ14" s="283">
        <f t="shared" si="6"/>
        <v>9.9124999999999991E-2</v>
      </c>
      <c r="AK14" s="283">
        <f t="shared" si="6"/>
        <v>9.9124999999999991E-2</v>
      </c>
      <c r="AL14" s="283">
        <f t="shared" si="6"/>
        <v>9.9124999999999991E-2</v>
      </c>
      <c r="AM14" s="283">
        <f t="shared" si="6"/>
        <v>9.9124999999999991E-2</v>
      </c>
      <c r="AN14" s="283">
        <f t="shared" si="6"/>
        <v>9.9124999999999991E-2</v>
      </c>
      <c r="AO14" s="283">
        <f t="shared" si="6"/>
        <v>9.9124999999999991E-2</v>
      </c>
      <c r="AP14" s="283">
        <f t="shared" si="6"/>
        <v>9.9124999999999991E-2</v>
      </c>
      <c r="AQ14" s="283">
        <f t="shared" si="6"/>
        <v>9.9124999999999991E-2</v>
      </c>
      <c r="AR14" s="283">
        <f t="shared" si="6"/>
        <v>9.9124999999999991E-2</v>
      </c>
      <c r="AS14" s="283">
        <f t="shared" si="6"/>
        <v>9.9124999999999991E-2</v>
      </c>
      <c r="AT14" s="283">
        <f t="shared" si="6"/>
        <v>9.9124999999999991E-2</v>
      </c>
      <c r="AU14" s="283">
        <f t="shared" si="6"/>
        <v>9.9124999999999991E-2</v>
      </c>
      <c r="AV14" s="283">
        <f t="shared" si="6"/>
        <v>9.9124999999999991E-2</v>
      </c>
      <c r="AW14" s="168"/>
    </row>
    <row r="15" spans="1:51" s="139" customFormat="1" ht="15" customHeight="1" x14ac:dyDescent="0.35">
      <c r="A15" s="13"/>
      <c r="B15" s="185"/>
      <c r="C15" s="363" t="str">
        <f>Assumptions!$K$99</f>
        <v>ROIC</v>
      </c>
      <c r="D15" s="208" t="str">
        <f>"Selected "&amp;Assumptions!K100</f>
        <v>Selected ROIC Curve</v>
      </c>
      <c r="E15" s="208"/>
      <c r="F15" s="208"/>
      <c r="G15" s="208"/>
      <c r="H15" s="880" t="s">
        <v>185</v>
      </c>
      <c r="I15" s="881"/>
      <c r="N15" s="342">
        <f ca="1">Financials!O134</f>
        <v>0.28761379679436305</v>
      </c>
      <c r="O15" s="342">
        <f ca="1">Financials!P134</f>
        <v>0.44169988538212279</v>
      </c>
      <c r="P15" s="342">
        <f ca="1">Financials!Q134</f>
        <v>0.58709386911585382</v>
      </c>
      <c r="Q15" s="342">
        <f ca="1">Financials!R134</f>
        <v>0.66768040201824275</v>
      </c>
      <c r="R15" s="342">
        <f ca="1">Financials!S134</f>
        <v>0.73472299654983764</v>
      </c>
      <c r="S15" s="343">
        <f t="shared" ref="S15:AV15" ca="1" si="7">IFERROR(INDEX(S$12:S$14,MATCH($H$15,$D$12:$D$14,0)),0)</f>
        <v>0.73189811656517167</v>
      </c>
      <c r="T15" s="343">
        <f t="shared" ca="1" si="7"/>
        <v>0.7234234766111739</v>
      </c>
      <c r="U15" s="343">
        <f t="shared" ca="1" si="7"/>
        <v>0.70929907668784409</v>
      </c>
      <c r="V15" s="343">
        <f t="shared" ca="1" si="7"/>
        <v>0.68952491679518246</v>
      </c>
      <c r="W15" s="343">
        <f t="shared" ca="1" si="7"/>
        <v>0.66410099693318903</v>
      </c>
      <c r="X15" s="343">
        <f t="shared" ca="1" si="7"/>
        <v>0.63302731710186366</v>
      </c>
      <c r="Y15" s="343">
        <f t="shared" ca="1" si="7"/>
        <v>0.59630387730120638</v>
      </c>
      <c r="Z15" s="343">
        <f t="shared" ca="1" si="7"/>
        <v>0.55393067753121716</v>
      </c>
      <c r="AA15" s="343">
        <f t="shared" ca="1" si="7"/>
        <v>0.50590771779189614</v>
      </c>
      <c r="AB15" s="343">
        <f t="shared" ca="1" si="7"/>
        <v>0.45223499808324313</v>
      </c>
      <c r="AC15" s="343">
        <f t="shared" ca="1" si="7"/>
        <v>0.39291251840525832</v>
      </c>
      <c r="AD15" s="343">
        <f t="shared" ca="1" si="7"/>
        <v>0.32794027875794157</v>
      </c>
      <c r="AE15" s="343">
        <f t="shared" ca="1" si="7"/>
        <v>0.25731827914129296</v>
      </c>
      <c r="AF15" s="343">
        <f t="shared" ca="1" si="7"/>
        <v>0.18104651955531248</v>
      </c>
      <c r="AG15" s="343">
        <f t="shared" si="7"/>
        <v>9.9124999999999991E-2</v>
      </c>
      <c r="AH15" s="343">
        <f t="shared" si="7"/>
        <v>9.9124999999999991E-2</v>
      </c>
      <c r="AI15" s="343">
        <f t="shared" si="7"/>
        <v>9.9124999999999991E-2</v>
      </c>
      <c r="AJ15" s="343">
        <f t="shared" si="7"/>
        <v>9.9124999999999991E-2</v>
      </c>
      <c r="AK15" s="343">
        <f t="shared" si="7"/>
        <v>9.9124999999999991E-2</v>
      </c>
      <c r="AL15" s="343">
        <f t="shared" si="7"/>
        <v>9.9124999999999991E-2</v>
      </c>
      <c r="AM15" s="343">
        <f t="shared" si="7"/>
        <v>9.9124999999999991E-2</v>
      </c>
      <c r="AN15" s="343">
        <f t="shared" si="7"/>
        <v>9.9124999999999991E-2</v>
      </c>
      <c r="AO15" s="343">
        <f t="shared" si="7"/>
        <v>9.9124999999999991E-2</v>
      </c>
      <c r="AP15" s="343">
        <f t="shared" si="7"/>
        <v>9.9124999999999991E-2</v>
      </c>
      <c r="AQ15" s="343">
        <f t="shared" si="7"/>
        <v>9.9124999999999991E-2</v>
      </c>
      <c r="AR15" s="343">
        <f t="shared" si="7"/>
        <v>9.9124999999999991E-2</v>
      </c>
      <c r="AS15" s="343">
        <f t="shared" si="7"/>
        <v>9.9124999999999991E-2</v>
      </c>
      <c r="AT15" s="343">
        <f t="shared" si="7"/>
        <v>9.9124999999999991E-2</v>
      </c>
      <c r="AU15" s="343">
        <f t="shared" si="7"/>
        <v>9.9124999999999991E-2</v>
      </c>
      <c r="AV15" s="343">
        <f t="shared" si="7"/>
        <v>9.9124999999999991E-2</v>
      </c>
      <c r="AW15" s="344"/>
      <c r="AY15" s="345"/>
    </row>
    <row r="16" spans="1:51" ht="15" customHeight="1" x14ac:dyDescent="0.35">
      <c r="B16" s="160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Y16" s="223"/>
      <c r="AW16" s="168"/>
    </row>
    <row r="17" spans="1:51" ht="15" customHeight="1" x14ac:dyDescent="0.35">
      <c r="B17" s="160"/>
      <c r="C17" s="169" t="s">
        <v>186</v>
      </c>
      <c r="D17" s="169"/>
      <c r="E17" s="169"/>
      <c r="F17" s="169"/>
      <c r="G17" s="169"/>
      <c r="H17" s="169"/>
      <c r="I17" s="169"/>
      <c r="J17" s="169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Y17" s="137"/>
      <c r="AW17" s="168"/>
    </row>
    <row r="18" spans="1:51" ht="15" customHeight="1" x14ac:dyDescent="0.35">
      <c r="B18" s="160"/>
      <c r="C18" s="139" t="str">
        <f>Financials!C10</f>
        <v>Revenue</v>
      </c>
      <c r="D18" s="139"/>
      <c r="E18" s="139"/>
      <c r="F18" s="139"/>
      <c r="G18" s="139"/>
      <c r="H18" s="139"/>
      <c r="I18" s="139"/>
      <c r="J18" s="139" t="str">
        <f>Financials!G10</f>
        <v>USD</v>
      </c>
      <c r="K18" s="139"/>
      <c r="L18" s="139"/>
      <c r="M18" s="139"/>
      <c r="N18" s="346">
        <f>Financials!O10</f>
        <v>5657725</v>
      </c>
      <c r="O18" s="346">
        <f>Financials!P10</f>
        <v>6082054.375</v>
      </c>
      <c r="P18" s="346">
        <f>Financials!Q10</f>
        <v>6386157.09375</v>
      </c>
      <c r="Q18" s="346">
        <f>Financials!R10</f>
        <v>6705464.9484375007</v>
      </c>
      <c r="R18" s="346">
        <f>Financials!S10</f>
        <v>7040738.1958593763</v>
      </c>
      <c r="S18" s="625">
        <f t="shared" ref="S18:AV18" si="8">R18*(1+S$19)</f>
        <v>7216756.6507558599</v>
      </c>
      <c r="T18" s="625">
        <f t="shared" si="8"/>
        <v>7397175.5670247562</v>
      </c>
      <c r="U18" s="625">
        <f t="shared" si="8"/>
        <v>7582104.9562003743</v>
      </c>
      <c r="V18" s="625">
        <f t="shared" si="8"/>
        <v>7771657.5801053829</v>
      </c>
      <c r="W18" s="625">
        <f t="shared" si="8"/>
        <v>7965949.0196080171</v>
      </c>
      <c r="X18" s="625">
        <f t="shared" si="8"/>
        <v>8165097.7450982165</v>
      </c>
      <c r="Y18" s="625">
        <f t="shared" si="8"/>
        <v>8369225.1887256708</v>
      </c>
      <c r="Z18" s="625">
        <f t="shared" si="8"/>
        <v>8578455.8184438124</v>
      </c>
      <c r="AA18" s="625">
        <f t="shared" si="8"/>
        <v>8792917.2139049061</v>
      </c>
      <c r="AB18" s="625">
        <f t="shared" si="8"/>
        <v>9012740.1442525275</v>
      </c>
      <c r="AC18" s="625">
        <f t="shared" si="8"/>
        <v>9238058.6478588395</v>
      </c>
      <c r="AD18" s="625">
        <f t="shared" si="8"/>
        <v>9469010.1140553094</v>
      </c>
      <c r="AE18" s="625">
        <f t="shared" si="8"/>
        <v>9705735.3669066913</v>
      </c>
      <c r="AF18" s="625">
        <f t="shared" si="8"/>
        <v>9948378.7510793582</v>
      </c>
      <c r="AG18" s="625">
        <f t="shared" si="8"/>
        <v>10197088.21985634</v>
      </c>
      <c r="AH18" s="626">
        <f t="shared" si="8"/>
        <v>10452015.425352748</v>
      </c>
      <c r="AI18" s="625">
        <f t="shared" si="8"/>
        <v>10713315.810986565</v>
      </c>
      <c r="AJ18" s="625">
        <f t="shared" si="8"/>
        <v>10981148.706261229</v>
      </c>
      <c r="AK18" s="625">
        <f t="shared" si="8"/>
        <v>11255677.423917759</v>
      </c>
      <c r="AL18" s="625">
        <f t="shared" si="8"/>
        <v>11537069.359515702</v>
      </c>
      <c r="AM18" s="625">
        <f t="shared" si="8"/>
        <v>11825496.093503594</v>
      </c>
      <c r="AN18" s="625">
        <f t="shared" si="8"/>
        <v>12121133.495841183</v>
      </c>
      <c r="AO18" s="625">
        <f t="shared" si="8"/>
        <v>12424161.833237212</v>
      </c>
      <c r="AP18" s="625">
        <f t="shared" si="8"/>
        <v>12734765.879068142</v>
      </c>
      <c r="AQ18" s="625">
        <f t="shared" si="8"/>
        <v>13053135.026044844</v>
      </c>
      <c r="AR18" s="625">
        <f t="shared" si="8"/>
        <v>13379463.401695963</v>
      </c>
      <c r="AS18" s="625">
        <f t="shared" si="8"/>
        <v>13713949.986738361</v>
      </c>
      <c r="AT18" s="625">
        <f t="shared" si="8"/>
        <v>14056798.73640682</v>
      </c>
      <c r="AU18" s="625">
        <f t="shared" si="8"/>
        <v>14408218.70481699</v>
      </c>
      <c r="AV18" s="625">
        <f t="shared" si="8"/>
        <v>14768424.172437413</v>
      </c>
      <c r="AW18" s="168"/>
    </row>
    <row r="19" spans="1:51" s="303" customFormat="1" ht="15" customHeight="1" x14ac:dyDescent="0.35">
      <c r="A19" s="21"/>
      <c r="B19" s="347"/>
      <c r="C19" s="303" t="str">
        <f>Financials!C11</f>
        <v>Revenue Growth</v>
      </c>
      <c r="J19" s="303" t="str">
        <f>Financials!G11</f>
        <v>%</v>
      </c>
      <c r="N19" s="348">
        <f>Financials!O11</f>
        <v>7.4999999999999956E-2</v>
      </c>
      <c r="O19" s="348">
        <f>Financials!P11</f>
        <v>7.4999999999999956E-2</v>
      </c>
      <c r="P19" s="348">
        <f>Financials!Q11</f>
        <v>5.0000000000000044E-2</v>
      </c>
      <c r="Q19" s="348">
        <f>Financials!R11</f>
        <v>5.0000000000000044E-2</v>
      </c>
      <c r="R19" s="348">
        <f>Financials!S11</f>
        <v>5.0000000000000044E-2</v>
      </c>
      <c r="S19" s="349">
        <f t="shared" ref="S19:AV19" si="9">IF(S$9&lt;=$I$54,$I$58,$J$58)</f>
        <v>2.5000000000000001E-2</v>
      </c>
      <c r="T19" s="349">
        <f t="shared" si="9"/>
        <v>2.5000000000000001E-2</v>
      </c>
      <c r="U19" s="349">
        <f t="shared" si="9"/>
        <v>2.5000000000000001E-2</v>
      </c>
      <c r="V19" s="349">
        <f t="shared" si="9"/>
        <v>2.5000000000000001E-2</v>
      </c>
      <c r="W19" s="349">
        <f t="shared" si="9"/>
        <v>2.5000000000000001E-2</v>
      </c>
      <c r="X19" s="349">
        <f t="shared" si="9"/>
        <v>2.5000000000000001E-2</v>
      </c>
      <c r="Y19" s="349">
        <f t="shared" si="9"/>
        <v>2.5000000000000001E-2</v>
      </c>
      <c r="Z19" s="349">
        <f t="shared" si="9"/>
        <v>2.5000000000000001E-2</v>
      </c>
      <c r="AA19" s="349">
        <f t="shared" si="9"/>
        <v>2.5000000000000001E-2</v>
      </c>
      <c r="AB19" s="349">
        <f t="shared" si="9"/>
        <v>2.5000000000000001E-2</v>
      </c>
      <c r="AC19" s="349">
        <f t="shared" si="9"/>
        <v>2.5000000000000001E-2</v>
      </c>
      <c r="AD19" s="349">
        <f t="shared" si="9"/>
        <v>2.5000000000000001E-2</v>
      </c>
      <c r="AE19" s="349">
        <f t="shared" si="9"/>
        <v>2.5000000000000001E-2</v>
      </c>
      <c r="AF19" s="349">
        <f t="shared" si="9"/>
        <v>2.5000000000000001E-2</v>
      </c>
      <c r="AG19" s="349">
        <f t="shared" si="9"/>
        <v>2.5000000000000001E-2</v>
      </c>
      <c r="AH19" s="350">
        <f t="shared" si="9"/>
        <v>2.5000000000000001E-2</v>
      </c>
      <c r="AI19" s="349">
        <f t="shared" si="9"/>
        <v>2.5000000000000001E-2</v>
      </c>
      <c r="AJ19" s="349">
        <f t="shared" si="9"/>
        <v>2.5000000000000001E-2</v>
      </c>
      <c r="AK19" s="349">
        <f t="shared" si="9"/>
        <v>2.5000000000000001E-2</v>
      </c>
      <c r="AL19" s="349">
        <f t="shared" si="9"/>
        <v>2.5000000000000001E-2</v>
      </c>
      <c r="AM19" s="349">
        <f t="shared" si="9"/>
        <v>2.5000000000000001E-2</v>
      </c>
      <c r="AN19" s="349">
        <f t="shared" si="9"/>
        <v>2.5000000000000001E-2</v>
      </c>
      <c r="AO19" s="349">
        <f t="shared" si="9"/>
        <v>2.5000000000000001E-2</v>
      </c>
      <c r="AP19" s="349">
        <f t="shared" si="9"/>
        <v>2.5000000000000001E-2</v>
      </c>
      <c r="AQ19" s="349">
        <f t="shared" si="9"/>
        <v>2.5000000000000001E-2</v>
      </c>
      <c r="AR19" s="349">
        <f t="shared" si="9"/>
        <v>2.5000000000000001E-2</v>
      </c>
      <c r="AS19" s="349">
        <f t="shared" si="9"/>
        <v>2.5000000000000001E-2</v>
      </c>
      <c r="AT19" s="349">
        <f t="shared" si="9"/>
        <v>2.5000000000000001E-2</v>
      </c>
      <c r="AU19" s="349">
        <f t="shared" si="9"/>
        <v>2.5000000000000001E-2</v>
      </c>
      <c r="AV19" s="349">
        <f t="shared" si="9"/>
        <v>2.5000000000000001E-2</v>
      </c>
      <c r="AW19" s="351"/>
      <c r="AY19" s="352"/>
    </row>
    <row r="20" spans="1:51" ht="15" customHeight="1" x14ac:dyDescent="0.35">
      <c r="B20" s="160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270"/>
      <c r="O20" s="270"/>
      <c r="P20" s="270"/>
      <c r="Q20" s="270"/>
      <c r="R20" s="270"/>
      <c r="S20" s="137"/>
      <c r="T20" s="137"/>
      <c r="U20" s="137"/>
      <c r="V20" s="137"/>
      <c r="W20" s="137"/>
      <c r="Y20" s="137"/>
      <c r="AH20" s="18"/>
      <c r="AW20" s="168"/>
    </row>
    <row r="21" spans="1:51" ht="15" customHeight="1" x14ac:dyDescent="0.35">
      <c r="B21" s="160"/>
      <c r="C21" s="139" t="str">
        <f>Financials!C18</f>
        <v>EBITDA</v>
      </c>
      <c r="D21" s="139"/>
      <c r="E21" s="139"/>
      <c r="F21" s="139"/>
      <c r="G21" s="139"/>
      <c r="H21" s="139"/>
      <c r="I21" s="139"/>
      <c r="J21" s="139" t="str">
        <f>Financials!G18</f>
        <v>USD</v>
      </c>
      <c r="K21" s="139"/>
      <c r="L21" s="139"/>
      <c r="M21" s="139"/>
      <c r="N21" s="346">
        <f>Financials!O18</f>
        <v>1100684.6818181814</v>
      </c>
      <c r="O21" s="346">
        <f>Financials!P18</f>
        <v>1183236.032954545</v>
      </c>
      <c r="P21" s="346">
        <f>Financials!Q18</f>
        <v>1261473.3687784085</v>
      </c>
      <c r="Q21" s="346">
        <f>Financials!R18</f>
        <v>1260055.1442809654</v>
      </c>
      <c r="R21" s="346">
        <f>Financials!S18</f>
        <v>1235187.6973692181</v>
      </c>
      <c r="S21" s="627">
        <f t="shared" ref="S21:AV21" ca="1" si="10">S25-S24</f>
        <v>1172459.1712283571</v>
      </c>
      <c r="T21" s="627">
        <f t="shared" ca="1" si="10"/>
        <v>1272249.2838184335</v>
      </c>
      <c r="U21" s="627">
        <f t="shared" ca="1" si="10"/>
        <v>1285953.6016120228</v>
      </c>
      <c r="V21" s="627">
        <f t="shared" ca="1" si="10"/>
        <v>1292126.1946291376</v>
      </c>
      <c r="W21" s="627">
        <f t="shared" ca="1" si="10"/>
        <v>1290196.3668107395</v>
      </c>
      <c r="X21" s="627">
        <f t="shared" ca="1" si="10"/>
        <v>1279564.9560072827</v>
      </c>
      <c r="Y21" s="627">
        <f t="shared" ca="1" si="10"/>
        <v>1259603.1513938385</v>
      </c>
      <c r="Z21" s="627">
        <f t="shared" ca="1" si="10"/>
        <v>1229651.2666481456</v>
      </c>
      <c r="AA21" s="627">
        <f t="shared" ca="1" si="10"/>
        <v>1189017.4673463735</v>
      </c>
      <c r="AB21" s="627">
        <f t="shared" ca="1" si="10"/>
        <v>1136976.4509799541</v>
      </c>
      <c r="AC21" s="627">
        <f t="shared" ca="1" si="10"/>
        <v>1072768.0779437725</v>
      </c>
      <c r="AD21" s="627">
        <f t="shared" ca="1" si="10"/>
        <v>995595.95179120987</v>
      </c>
      <c r="AE21" s="627">
        <f t="shared" ca="1" si="10"/>
        <v>904625.94699502725</v>
      </c>
      <c r="AF21" s="627">
        <f t="shared" ca="1" si="10"/>
        <v>798984.68239470711</v>
      </c>
      <c r="AG21" s="627">
        <f t="shared" ca="1" si="10"/>
        <v>677757.93845067848</v>
      </c>
      <c r="AH21" s="628">
        <f t="shared" ca="1" si="10"/>
        <v>694701.88691194542</v>
      </c>
      <c r="AI21" s="627">
        <f t="shared" ca="1" si="10"/>
        <v>712069.43408474396</v>
      </c>
      <c r="AJ21" s="627">
        <f t="shared" ca="1" si="10"/>
        <v>729871.16993686242</v>
      </c>
      <c r="AK21" s="627">
        <f t="shared" ca="1" si="10"/>
        <v>748117.94918528385</v>
      </c>
      <c r="AL21" s="627">
        <f t="shared" ca="1" si="10"/>
        <v>766820.89791491604</v>
      </c>
      <c r="AM21" s="627">
        <f t="shared" ca="1" si="10"/>
        <v>785991.42036278883</v>
      </c>
      <c r="AN21" s="627">
        <f t="shared" ca="1" si="10"/>
        <v>805641.2058718584</v>
      </c>
      <c r="AO21" s="627">
        <f t="shared" ca="1" si="10"/>
        <v>825782.23601865477</v>
      </c>
      <c r="AP21" s="627">
        <f t="shared" ca="1" si="10"/>
        <v>846426.79191912105</v>
      </c>
      <c r="AQ21" s="627">
        <f t="shared" ca="1" si="10"/>
        <v>867587.46171709907</v>
      </c>
      <c r="AR21" s="627">
        <f t="shared" ca="1" si="10"/>
        <v>889277.14826002647</v>
      </c>
      <c r="AS21" s="627">
        <f t="shared" ca="1" si="10"/>
        <v>911509.07696652703</v>
      </c>
      <c r="AT21" s="627">
        <f t="shared" ca="1" si="10"/>
        <v>934296.80389069021</v>
      </c>
      <c r="AU21" s="627">
        <f t="shared" ca="1" si="10"/>
        <v>957654.22398795735</v>
      </c>
      <c r="AV21" s="627">
        <f t="shared" ca="1" si="10"/>
        <v>981595.57958765619</v>
      </c>
      <c r="AW21" s="168"/>
    </row>
    <row r="22" spans="1:51" ht="15" customHeight="1" x14ac:dyDescent="0.35">
      <c r="B22" s="160"/>
      <c r="C22" s="303" t="str">
        <f>C21&amp;" Margin"</f>
        <v>EBITDA Margin</v>
      </c>
      <c r="D22" s="303"/>
      <c r="E22" s="303"/>
      <c r="F22" s="303"/>
      <c r="G22" s="303"/>
      <c r="H22" s="303"/>
      <c r="I22" s="303"/>
      <c r="J22" s="303" t="str">
        <f>Financials!G14</f>
        <v>USD</v>
      </c>
      <c r="K22" s="303"/>
      <c r="L22" s="303"/>
      <c r="M22" s="303"/>
      <c r="N22" s="353">
        <f>Financials!O19</f>
        <v>0.19454545454545447</v>
      </c>
      <c r="O22" s="353">
        <f>Financials!P19</f>
        <v>0.19454545454545447</v>
      </c>
      <c r="P22" s="353">
        <f>Financials!Q19</f>
        <v>0.19753246753246745</v>
      </c>
      <c r="Q22" s="353">
        <f>Financials!R19</f>
        <v>0.18791465677179953</v>
      </c>
      <c r="R22" s="353">
        <f>Financials!S19</f>
        <v>0.17543440233236138</v>
      </c>
      <c r="S22" s="354">
        <f t="shared" ref="S22:AV22" ca="1" si="11">IFERROR(S21/S18,0)</f>
        <v>0.16246344832835086</v>
      </c>
      <c r="T22" s="354">
        <f t="shared" ca="1" si="11"/>
        <v>0.17199122452762727</v>
      </c>
      <c r="U22" s="354">
        <f t="shared" ca="1" si="11"/>
        <v>0.16960377217680375</v>
      </c>
      <c r="V22" s="354">
        <f t="shared" ca="1" si="11"/>
        <v>0.16626133888565076</v>
      </c>
      <c r="W22" s="354">
        <f t="shared" ca="1" si="11"/>
        <v>0.1619639246541684</v>
      </c>
      <c r="X22" s="354">
        <f t="shared" ca="1" si="11"/>
        <v>0.15671152948235662</v>
      </c>
      <c r="Y22" s="354">
        <f t="shared" ca="1" si="11"/>
        <v>0.15050415337021542</v>
      </c>
      <c r="Z22" s="354">
        <f t="shared" ca="1" si="11"/>
        <v>0.1433417963177448</v>
      </c>
      <c r="AA22" s="354">
        <f t="shared" ca="1" si="11"/>
        <v>0.13522445832494479</v>
      </c>
      <c r="AB22" s="354">
        <f t="shared" ca="1" si="11"/>
        <v>0.12615213939181527</v>
      </c>
      <c r="AC22" s="354">
        <f t="shared" ca="1" si="11"/>
        <v>0.11612483951835643</v>
      </c>
      <c r="AD22" s="354">
        <f t="shared" ca="1" si="11"/>
        <v>0.10514255870456814</v>
      </c>
      <c r="AE22" s="354">
        <f t="shared" ca="1" si="11"/>
        <v>9.3205296950450447E-2</v>
      </c>
      <c r="AF22" s="354">
        <f t="shared" ca="1" si="11"/>
        <v>8.0313054256003324E-2</v>
      </c>
      <c r="AG22" s="354">
        <f t="shared" ca="1" si="11"/>
        <v>6.6465830621226782E-2</v>
      </c>
      <c r="AH22" s="355">
        <f t="shared" ca="1" si="11"/>
        <v>6.6465830621226782E-2</v>
      </c>
      <c r="AI22" s="354">
        <f t="shared" ca="1" si="11"/>
        <v>6.6465830621226782E-2</v>
      </c>
      <c r="AJ22" s="354">
        <f t="shared" ca="1" si="11"/>
        <v>6.6465830621226782E-2</v>
      </c>
      <c r="AK22" s="354">
        <f t="shared" ca="1" si="11"/>
        <v>6.6465830621226768E-2</v>
      </c>
      <c r="AL22" s="354">
        <f t="shared" ca="1" si="11"/>
        <v>6.6465830621226782E-2</v>
      </c>
      <c r="AM22" s="354">
        <f t="shared" ca="1" si="11"/>
        <v>6.6465830621226782E-2</v>
      </c>
      <c r="AN22" s="354">
        <f t="shared" ca="1" si="11"/>
        <v>6.6465830621226768E-2</v>
      </c>
      <c r="AO22" s="354">
        <f t="shared" ca="1" si="11"/>
        <v>6.6465830621226768E-2</v>
      </c>
      <c r="AP22" s="354">
        <f t="shared" ca="1" si="11"/>
        <v>6.6465830621226768E-2</v>
      </c>
      <c r="AQ22" s="354">
        <f t="shared" ca="1" si="11"/>
        <v>6.6465830621226768E-2</v>
      </c>
      <c r="AR22" s="354">
        <f t="shared" ca="1" si="11"/>
        <v>6.6465830621226768E-2</v>
      </c>
      <c r="AS22" s="354">
        <f t="shared" ca="1" si="11"/>
        <v>6.6465830621226768E-2</v>
      </c>
      <c r="AT22" s="354">
        <f t="shared" ca="1" si="11"/>
        <v>6.6465830621226768E-2</v>
      </c>
      <c r="AU22" s="354">
        <f t="shared" ca="1" si="11"/>
        <v>6.6465830621226768E-2</v>
      </c>
      <c r="AV22" s="354">
        <f t="shared" ca="1" si="11"/>
        <v>6.6465830621226768E-2</v>
      </c>
      <c r="AW22" s="168"/>
    </row>
    <row r="23" spans="1:51" ht="15" customHeight="1" x14ac:dyDescent="0.35">
      <c r="B23" s="160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270"/>
      <c r="O23" s="270"/>
      <c r="P23" s="270"/>
      <c r="Q23" s="270"/>
      <c r="R23" s="270"/>
      <c r="S23" s="137"/>
      <c r="T23" s="137"/>
      <c r="U23" s="137"/>
      <c r="V23" s="137"/>
      <c r="W23" s="137"/>
      <c r="Y23" s="137"/>
      <c r="AH23" s="18"/>
      <c r="AW23" s="168"/>
    </row>
    <row r="24" spans="1:51" ht="15" customHeight="1" x14ac:dyDescent="0.35">
      <c r="B24" s="160"/>
      <c r="C24" s="137" t="str">
        <f>Financials!C21</f>
        <v>Depreciation</v>
      </c>
      <c r="D24" s="137"/>
      <c r="E24" s="137"/>
      <c r="F24" s="137"/>
      <c r="G24" s="137"/>
      <c r="H24" s="137"/>
      <c r="I24" s="137"/>
      <c r="J24" s="137" t="str">
        <f>Financials!G21</f>
        <v>USD</v>
      </c>
      <c r="K24" s="137"/>
      <c r="L24" s="137"/>
      <c r="M24" s="137"/>
      <c r="N24" s="356">
        <f>Financials!O21</f>
        <v>-300000</v>
      </c>
      <c r="O24" s="356">
        <f>Financials!P21</f>
        <v>-300000</v>
      </c>
      <c r="P24" s="356">
        <f>Financials!Q21</f>
        <v>-300000</v>
      </c>
      <c r="Q24" s="356">
        <f>Financials!R21</f>
        <v>-300000</v>
      </c>
      <c r="R24" s="356">
        <f>Financials!S21</f>
        <v>-350000</v>
      </c>
      <c r="S24" s="629">
        <f>R24*(1+S$19)</f>
        <v>-358749.99999999994</v>
      </c>
      <c r="T24" s="629">
        <f t="shared" ref="T24:AV24" si="12">S24*(1+T$19)</f>
        <v>-367718.74999999988</v>
      </c>
      <c r="U24" s="629">
        <f t="shared" si="12"/>
        <v>-376911.71874999983</v>
      </c>
      <c r="V24" s="629">
        <f t="shared" si="12"/>
        <v>-386334.51171874977</v>
      </c>
      <c r="W24" s="629">
        <f t="shared" si="12"/>
        <v>-395992.87451171846</v>
      </c>
      <c r="X24" s="629">
        <f t="shared" si="12"/>
        <v>-405892.6963745114</v>
      </c>
      <c r="Y24" s="629">
        <f t="shared" si="12"/>
        <v>-416040.01378387416</v>
      </c>
      <c r="Z24" s="629">
        <f t="shared" si="12"/>
        <v>-426441.01412847097</v>
      </c>
      <c r="AA24" s="629">
        <f t="shared" si="12"/>
        <v>-437102.0394816827</v>
      </c>
      <c r="AB24" s="629">
        <f t="shared" si="12"/>
        <v>-448029.59046872472</v>
      </c>
      <c r="AC24" s="629">
        <f t="shared" si="12"/>
        <v>-459230.33023044281</v>
      </c>
      <c r="AD24" s="629">
        <f t="shared" si="12"/>
        <v>-470711.08848620381</v>
      </c>
      <c r="AE24" s="629">
        <f t="shared" si="12"/>
        <v>-482478.86569835886</v>
      </c>
      <c r="AF24" s="629">
        <f t="shared" si="12"/>
        <v>-494540.83734081779</v>
      </c>
      <c r="AG24" s="629">
        <f t="shared" si="12"/>
        <v>-506904.35827433818</v>
      </c>
      <c r="AH24" s="630">
        <f t="shared" si="12"/>
        <v>-519576.96723119658</v>
      </c>
      <c r="AI24" s="629">
        <f t="shared" si="12"/>
        <v>-532566.39141197642</v>
      </c>
      <c r="AJ24" s="629">
        <f t="shared" si="12"/>
        <v>-545880.55119727575</v>
      </c>
      <c r="AK24" s="629">
        <f t="shared" si="12"/>
        <v>-559527.56497720757</v>
      </c>
      <c r="AL24" s="629">
        <f t="shared" si="12"/>
        <v>-573515.75410163775</v>
      </c>
      <c r="AM24" s="629">
        <f t="shared" si="12"/>
        <v>-587853.64795417862</v>
      </c>
      <c r="AN24" s="629">
        <f t="shared" si="12"/>
        <v>-602549.98915303301</v>
      </c>
      <c r="AO24" s="629">
        <f t="shared" si="12"/>
        <v>-617613.73888185876</v>
      </c>
      <c r="AP24" s="629">
        <f t="shared" si="12"/>
        <v>-633054.08235390519</v>
      </c>
      <c r="AQ24" s="629">
        <f t="shared" si="12"/>
        <v>-648880.43441275274</v>
      </c>
      <c r="AR24" s="629">
        <f t="shared" si="12"/>
        <v>-665102.44527307153</v>
      </c>
      <c r="AS24" s="629">
        <f t="shared" si="12"/>
        <v>-681730.00640489825</v>
      </c>
      <c r="AT24" s="629">
        <f t="shared" si="12"/>
        <v>-698773.25656502065</v>
      </c>
      <c r="AU24" s="629">
        <f t="shared" si="12"/>
        <v>-716242.58797914616</v>
      </c>
      <c r="AV24" s="629">
        <f t="shared" si="12"/>
        <v>-734148.65267862473</v>
      </c>
      <c r="AW24" s="168"/>
    </row>
    <row r="25" spans="1:51" s="139" customFormat="1" ht="15" customHeight="1" x14ac:dyDescent="0.35">
      <c r="A25" s="13"/>
      <c r="B25" s="185"/>
      <c r="C25" s="208" t="str">
        <f>Financials!C22</f>
        <v>EBIT</v>
      </c>
      <c r="D25" s="208"/>
      <c r="E25" s="208"/>
      <c r="F25" s="208"/>
      <c r="G25" s="208"/>
      <c r="H25" s="208"/>
      <c r="I25" s="208"/>
      <c r="J25" s="208" t="str">
        <f>Financials!G22</f>
        <v>USD</v>
      </c>
      <c r="K25" s="208"/>
      <c r="L25" s="208"/>
      <c r="M25" s="208"/>
      <c r="N25" s="357">
        <f>N21+N24</f>
        <v>800684.68181818142</v>
      </c>
      <c r="O25" s="357">
        <f>O21+O24</f>
        <v>883236.03295454499</v>
      </c>
      <c r="P25" s="357">
        <f>P21+P24</f>
        <v>961473.36877840851</v>
      </c>
      <c r="Q25" s="357">
        <f>Q21+Q24</f>
        <v>960055.14428096544</v>
      </c>
      <c r="R25" s="357">
        <f>R21+R24</f>
        <v>885187.69736921811</v>
      </c>
      <c r="S25" s="631">
        <f t="shared" ref="S25:AV25" ca="1" si="13">IFERROR(S28/(1-S26),0)</f>
        <v>813709.17122835724</v>
      </c>
      <c r="T25" s="631">
        <f t="shared" ca="1" si="13"/>
        <v>904530.53381843364</v>
      </c>
      <c r="U25" s="631">
        <f t="shared" ca="1" si="13"/>
        <v>909041.88286202296</v>
      </c>
      <c r="V25" s="631">
        <f t="shared" ca="1" si="13"/>
        <v>905791.68291038787</v>
      </c>
      <c r="W25" s="631">
        <f t="shared" ca="1" si="13"/>
        <v>894203.49229902111</v>
      </c>
      <c r="X25" s="631">
        <f t="shared" ca="1" si="13"/>
        <v>873672.25963277125</v>
      </c>
      <c r="Y25" s="631">
        <f t="shared" ca="1" si="13"/>
        <v>843563.13760996435</v>
      </c>
      <c r="Z25" s="631">
        <f t="shared" ca="1" si="13"/>
        <v>803210.2525196746</v>
      </c>
      <c r="AA25" s="631">
        <f t="shared" ca="1" si="13"/>
        <v>751915.42786469066</v>
      </c>
      <c r="AB25" s="631">
        <f t="shared" ca="1" si="13"/>
        <v>688946.86051122949</v>
      </c>
      <c r="AC25" s="631">
        <f t="shared" ca="1" si="13"/>
        <v>613537.74771332974</v>
      </c>
      <c r="AD25" s="631">
        <f t="shared" ca="1" si="13"/>
        <v>524884.86330500606</v>
      </c>
      <c r="AE25" s="631">
        <f t="shared" ca="1" si="13"/>
        <v>422147.08129666839</v>
      </c>
      <c r="AF25" s="631">
        <f t="shared" ca="1" si="13"/>
        <v>304443.84505388932</v>
      </c>
      <c r="AG25" s="631">
        <f t="shared" ca="1" si="13"/>
        <v>170853.58017634033</v>
      </c>
      <c r="AH25" s="632">
        <f t="shared" ca="1" si="13"/>
        <v>175124.9196807488</v>
      </c>
      <c r="AI25" s="631">
        <f t="shared" ca="1" si="13"/>
        <v>179503.04267276751</v>
      </c>
      <c r="AJ25" s="631">
        <f t="shared" ca="1" si="13"/>
        <v>183990.61873958667</v>
      </c>
      <c r="AK25" s="631">
        <f t="shared" ca="1" si="13"/>
        <v>188590.38420807631</v>
      </c>
      <c r="AL25" s="631">
        <f t="shared" ca="1" si="13"/>
        <v>193305.14381327826</v>
      </c>
      <c r="AM25" s="631">
        <f t="shared" ca="1" si="13"/>
        <v>198137.77240861018</v>
      </c>
      <c r="AN25" s="631">
        <f t="shared" ca="1" si="13"/>
        <v>203091.2167188254</v>
      </c>
      <c r="AO25" s="631">
        <f t="shared" ca="1" si="13"/>
        <v>208168.49713679604</v>
      </c>
      <c r="AP25" s="631">
        <f t="shared" ca="1" si="13"/>
        <v>213372.70956521589</v>
      </c>
      <c r="AQ25" s="631">
        <f t="shared" ca="1" si="13"/>
        <v>218707.02730434629</v>
      </c>
      <c r="AR25" s="631">
        <f t="shared" ca="1" si="13"/>
        <v>224174.70298695494</v>
      </c>
      <c r="AS25" s="631">
        <f t="shared" ca="1" si="13"/>
        <v>229779.07056162882</v>
      </c>
      <c r="AT25" s="631">
        <f t="shared" ca="1" si="13"/>
        <v>235523.54732566953</v>
      </c>
      <c r="AU25" s="631">
        <f t="shared" ca="1" si="13"/>
        <v>241411.63600881121</v>
      </c>
      <c r="AV25" s="631">
        <f t="shared" ca="1" si="13"/>
        <v>247446.92690903149</v>
      </c>
      <c r="AW25" s="344"/>
      <c r="AY25" s="345"/>
    </row>
    <row r="26" spans="1:51" ht="15" customHeight="1" x14ac:dyDescent="0.35">
      <c r="B26" s="160"/>
      <c r="C26" s="137" t="str">
        <f>Financials!C145</f>
        <v>Income Tax Rate</v>
      </c>
      <c r="D26" s="137"/>
      <c r="E26" s="137"/>
      <c r="F26" s="137"/>
      <c r="G26" s="137"/>
      <c r="H26" s="137"/>
      <c r="I26" s="137"/>
      <c r="J26" s="137" t="str">
        <f>Financials!G145</f>
        <v>%</v>
      </c>
      <c r="K26" s="137"/>
      <c r="L26" s="137"/>
      <c r="M26" s="137"/>
      <c r="N26" s="7">
        <f>Financials!O145</f>
        <v>0.25</v>
      </c>
      <c r="O26" s="7">
        <f>Financials!P145</f>
        <v>0.25</v>
      </c>
      <c r="P26" s="7">
        <f>Financials!Q145</f>
        <v>0.25</v>
      </c>
      <c r="Q26" s="7">
        <f>Financials!R145</f>
        <v>0.25</v>
      </c>
      <c r="R26" s="7">
        <f>Financials!S145</f>
        <v>0.25</v>
      </c>
      <c r="S26" s="358">
        <f t="shared" ref="S26:AV26" si="14">R26</f>
        <v>0.25</v>
      </c>
      <c r="T26" s="358">
        <f t="shared" si="14"/>
        <v>0.25</v>
      </c>
      <c r="U26" s="358">
        <f t="shared" si="14"/>
        <v>0.25</v>
      </c>
      <c r="V26" s="358">
        <f t="shared" si="14"/>
        <v>0.25</v>
      </c>
      <c r="W26" s="358">
        <f t="shared" si="14"/>
        <v>0.25</v>
      </c>
      <c r="X26" s="358">
        <f t="shared" si="14"/>
        <v>0.25</v>
      </c>
      <c r="Y26" s="358">
        <f t="shared" si="14"/>
        <v>0.25</v>
      </c>
      <c r="Z26" s="358">
        <f t="shared" si="14"/>
        <v>0.25</v>
      </c>
      <c r="AA26" s="358">
        <f t="shared" si="14"/>
        <v>0.25</v>
      </c>
      <c r="AB26" s="358">
        <f t="shared" si="14"/>
        <v>0.25</v>
      </c>
      <c r="AC26" s="358">
        <f t="shared" si="14"/>
        <v>0.25</v>
      </c>
      <c r="AD26" s="358">
        <f t="shared" si="14"/>
        <v>0.25</v>
      </c>
      <c r="AE26" s="358">
        <f t="shared" si="14"/>
        <v>0.25</v>
      </c>
      <c r="AF26" s="358">
        <f t="shared" si="14"/>
        <v>0.25</v>
      </c>
      <c r="AG26" s="358">
        <f t="shared" si="14"/>
        <v>0.25</v>
      </c>
      <c r="AH26" s="283">
        <f t="shared" si="14"/>
        <v>0.25</v>
      </c>
      <c r="AI26" s="358">
        <f t="shared" si="14"/>
        <v>0.25</v>
      </c>
      <c r="AJ26" s="358">
        <f t="shared" si="14"/>
        <v>0.25</v>
      </c>
      <c r="AK26" s="358">
        <f t="shared" si="14"/>
        <v>0.25</v>
      </c>
      <c r="AL26" s="358">
        <f t="shared" si="14"/>
        <v>0.25</v>
      </c>
      <c r="AM26" s="358">
        <f t="shared" si="14"/>
        <v>0.25</v>
      </c>
      <c r="AN26" s="358">
        <f t="shared" si="14"/>
        <v>0.25</v>
      </c>
      <c r="AO26" s="358">
        <f t="shared" si="14"/>
        <v>0.25</v>
      </c>
      <c r="AP26" s="358">
        <f t="shared" si="14"/>
        <v>0.25</v>
      </c>
      <c r="AQ26" s="358">
        <f t="shared" si="14"/>
        <v>0.25</v>
      </c>
      <c r="AR26" s="358">
        <f t="shared" si="14"/>
        <v>0.25</v>
      </c>
      <c r="AS26" s="358">
        <f t="shared" si="14"/>
        <v>0.25</v>
      </c>
      <c r="AT26" s="358">
        <f t="shared" si="14"/>
        <v>0.25</v>
      </c>
      <c r="AU26" s="358">
        <f t="shared" si="14"/>
        <v>0.25</v>
      </c>
      <c r="AV26" s="358">
        <f t="shared" si="14"/>
        <v>0.25</v>
      </c>
      <c r="AW26" s="168"/>
    </row>
    <row r="27" spans="1:51" ht="15" customHeight="1" x14ac:dyDescent="0.35">
      <c r="B27" s="160"/>
      <c r="C27" s="137" t="s">
        <v>200</v>
      </c>
      <c r="D27" s="137"/>
      <c r="E27" s="137"/>
      <c r="F27" s="137"/>
      <c r="G27" s="137"/>
      <c r="H27" s="137"/>
      <c r="I27" s="137"/>
      <c r="J27" s="204" t="str">
        <f>Assumptions!$G$14</f>
        <v>USD</v>
      </c>
      <c r="K27" s="204"/>
      <c r="L27" s="204"/>
      <c r="M27" s="137"/>
      <c r="N27" s="629">
        <f>N28-N25</f>
        <v>-200171.17045454541</v>
      </c>
      <c r="O27" s="629">
        <f>O28-O25</f>
        <v>-220809.00823863619</v>
      </c>
      <c r="P27" s="629">
        <f>P28-P25</f>
        <v>-240368.34219460213</v>
      </c>
      <c r="Q27" s="629">
        <f>Q28-Q25</f>
        <v>-240013.78607024136</v>
      </c>
      <c r="R27" s="629">
        <f>R28-R25</f>
        <v>-221296.92434230447</v>
      </c>
      <c r="S27" s="629">
        <f t="shared" ref="S27:AV27" ca="1" si="15">-S25*S26</f>
        <v>-203427.29280708931</v>
      </c>
      <c r="T27" s="629">
        <f t="shared" ca="1" si="15"/>
        <v>-226132.63345460841</v>
      </c>
      <c r="U27" s="629">
        <f t="shared" ca="1" si="15"/>
        <v>-227260.47071550574</v>
      </c>
      <c r="V27" s="629">
        <f t="shared" ca="1" si="15"/>
        <v>-226447.92072759697</v>
      </c>
      <c r="W27" s="629">
        <f t="shared" ca="1" si="15"/>
        <v>-223550.87307475528</v>
      </c>
      <c r="X27" s="629">
        <f t="shared" ca="1" si="15"/>
        <v>-218418.06490819281</v>
      </c>
      <c r="Y27" s="629">
        <f t="shared" ca="1" si="15"/>
        <v>-210890.78440249109</v>
      </c>
      <c r="Z27" s="629">
        <f t="shared" ca="1" si="15"/>
        <v>-200802.56312991865</v>
      </c>
      <c r="AA27" s="629">
        <f t="shared" ca="1" si="15"/>
        <v>-187978.85696617267</v>
      </c>
      <c r="AB27" s="629">
        <f t="shared" ca="1" si="15"/>
        <v>-172236.71512780737</v>
      </c>
      <c r="AC27" s="629">
        <f t="shared" ca="1" si="15"/>
        <v>-153384.43692833243</v>
      </c>
      <c r="AD27" s="629">
        <f t="shared" ca="1" si="15"/>
        <v>-131221.21582625151</v>
      </c>
      <c r="AE27" s="629">
        <f t="shared" ca="1" si="15"/>
        <v>-105536.7703241671</v>
      </c>
      <c r="AF27" s="629">
        <f t="shared" ca="1" si="15"/>
        <v>-76110.961263472331</v>
      </c>
      <c r="AG27" s="629">
        <f t="shared" ca="1" si="15"/>
        <v>-42713.395044085082</v>
      </c>
      <c r="AH27" s="630">
        <f t="shared" ca="1" si="15"/>
        <v>-43781.229920187201</v>
      </c>
      <c r="AI27" s="629">
        <f t="shared" ca="1" si="15"/>
        <v>-44875.760668191877</v>
      </c>
      <c r="AJ27" s="629">
        <f t="shared" ca="1" si="15"/>
        <v>-45997.654684896668</v>
      </c>
      <c r="AK27" s="629">
        <f t="shared" ca="1" si="15"/>
        <v>-47147.596052019078</v>
      </c>
      <c r="AL27" s="629">
        <f t="shared" ca="1" si="15"/>
        <v>-48326.285953319566</v>
      </c>
      <c r="AM27" s="629">
        <f t="shared" ca="1" si="15"/>
        <v>-49534.443102152545</v>
      </c>
      <c r="AN27" s="629">
        <f t="shared" ca="1" si="15"/>
        <v>-50772.804179706349</v>
      </c>
      <c r="AO27" s="629">
        <f t="shared" ca="1" si="15"/>
        <v>-52042.12428419901</v>
      </c>
      <c r="AP27" s="629">
        <f t="shared" ca="1" si="15"/>
        <v>-53343.177391303972</v>
      </c>
      <c r="AQ27" s="629">
        <f t="shared" ca="1" si="15"/>
        <v>-54676.756826086574</v>
      </c>
      <c r="AR27" s="629">
        <f t="shared" ca="1" si="15"/>
        <v>-56043.675746738736</v>
      </c>
      <c r="AS27" s="629">
        <f t="shared" ca="1" si="15"/>
        <v>-57444.767640407204</v>
      </c>
      <c r="AT27" s="629">
        <f t="shared" ca="1" si="15"/>
        <v>-58880.886831417381</v>
      </c>
      <c r="AU27" s="629">
        <f t="shared" ca="1" si="15"/>
        <v>-60352.909002202803</v>
      </c>
      <c r="AV27" s="629">
        <f t="shared" ca="1" si="15"/>
        <v>-61861.731727257873</v>
      </c>
      <c r="AW27" s="168"/>
    </row>
    <row r="28" spans="1:51" s="139" customFormat="1" ht="15" customHeight="1" x14ac:dyDescent="0.35">
      <c r="A28" s="13"/>
      <c r="B28" s="185"/>
      <c r="C28" s="208" t="s">
        <v>83</v>
      </c>
      <c r="D28" s="208"/>
      <c r="E28" s="208"/>
      <c r="F28" s="208"/>
      <c r="G28" s="208"/>
      <c r="H28" s="208"/>
      <c r="I28" s="208"/>
      <c r="J28" s="208" t="s">
        <v>83</v>
      </c>
      <c r="K28" s="208"/>
      <c r="L28" s="208"/>
      <c r="M28" s="208"/>
      <c r="N28" s="357">
        <f>N25*(1-N26)</f>
        <v>600513.511363636</v>
      </c>
      <c r="O28" s="357">
        <f>O25*(1-O26)</f>
        <v>662427.0247159088</v>
      </c>
      <c r="P28" s="357">
        <f>P25*(1-P26)</f>
        <v>721105.02658380638</v>
      </c>
      <c r="Q28" s="357">
        <f>Q25*(1-Q26)</f>
        <v>720041.35821072408</v>
      </c>
      <c r="R28" s="357">
        <f>R25*(1-R26)</f>
        <v>663890.77302691364</v>
      </c>
      <c r="S28" s="631">
        <f ca="1">AVERAGE(R34:S34)*S15</f>
        <v>610281.87842126796</v>
      </c>
      <c r="T28" s="631">
        <f t="shared" ref="T28:AV28" ca="1" si="16">AVERAGE(S34:T34)*T15</f>
        <v>678397.90036382526</v>
      </c>
      <c r="U28" s="631">
        <f t="shared" ca="1" si="16"/>
        <v>681781.41214651719</v>
      </c>
      <c r="V28" s="631">
        <f t="shared" ca="1" si="16"/>
        <v>679343.7621827909</v>
      </c>
      <c r="W28" s="631">
        <f t="shared" ca="1" si="16"/>
        <v>670652.6192242658</v>
      </c>
      <c r="X28" s="631">
        <f t="shared" ca="1" si="16"/>
        <v>655254.19472457841</v>
      </c>
      <c r="Y28" s="631">
        <f t="shared" ca="1" si="16"/>
        <v>632672.35320747329</v>
      </c>
      <c r="Z28" s="631">
        <f t="shared" ca="1" si="16"/>
        <v>602407.68938975595</v>
      </c>
      <c r="AA28" s="631">
        <f t="shared" ca="1" si="16"/>
        <v>563936.57089851797</v>
      </c>
      <c r="AB28" s="631">
        <f t="shared" ca="1" si="16"/>
        <v>516710.14538342215</v>
      </c>
      <c r="AC28" s="631">
        <f t="shared" ca="1" si="16"/>
        <v>460153.3107849973</v>
      </c>
      <c r="AD28" s="631">
        <f t="shared" ca="1" si="16"/>
        <v>393663.64747875457</v>
      </c>
      <c r="AE28" s="631">
        <f t="shared" ca="1" si="16"/>
        <v>316610.31097250129</v>
      </c>
      <c r="AF28" s="631">
        <f t="shared" ca="1" si="16"/>
        <v>228332.88379041699</v>
      </c>
      <c r="AG28" s="631">
        <f t="shared" ca="1" si="16"/>
        <v>128140.18513225524</v>
      </c>
      <c r="AH28" s="631">
        <f t="shared" ca="1" si="16"/>
        <v>131343.6897605616</v>
      </c>
      <c r="AI28" s="631">
        <f t="shared" ca="1" si="16"/>
        <v>134627.28200457562</v>
      </c>
      <c r="AJ28" s="631">
        <f t="shared" ca="1" si="16"/>
        <v>137992.96405469</v>
      </c>
      <c r="AK28" s="631">
        <f t="shared" ca="1" si="16"/>
        <v>141442.78815605724</v>
      </c>
      <c r="AL28" s="631">
        <f t="shared" ca="1" si="16"/>
        <v>144978.85785995869</v>
      </c>
      <c r="AM28" s="631">
        <f t="shared" ca="1" si="16"/>
        <v>148603.32930645763</v>
      </c>
      <c r="AN28" s="631">
        <f t="shared" ca="1" si="16"/>
        <v>152318.41253911905</v>
      </c>
      <c r="AO28" s="631">
        <f t="shared" ca="1" si="16"/>
        <v>156126.37285259704</v>
      </c>
      <c r="AP28" s="631">
        <f t="shared" ca="1" si="16"/>
        <v>160029.53217391192</v>
      </c>
      <c r="AQ28" s="631">
        <f t="shared" ca="1" si="16"/>
        <v>164030.27047825971</v>
      </c>
      <c r="AR28" s="631">
        <f t="shared" ca="1" si="16"/>
        <v>168131.02724021621</v>
      </c>
      <c r="AS28" s="631">
        <f t="shared" ca="1" si="16"/>
        <v>172334.30292122162</v>
      </c>
      <c r="AT28" s="631">
        <f t="shared" ca="1" si="16"/>
        <v>176642.66049425214</v>
      </c>
      <c r="AU28" s="631">
        <f t="shared" ca="1" si="16"/>
        <v>181058.72700660842</v>
      </c>
      <c r="AV28" s="631">
        <f t="shared" ca="1" si="16"/>
        <v>185585.19518177363</v>
      </c>
      <c r="AW28" s="344"/>
      <c r="AY28" s="345"/>
    </row>
    <row r="29" spans="1:51" ht="15" customHeight="1" x14ac:dyDescent="0.35">
      <c r="B29" s="160"/>
      <c r="C29" s="137" t="s">
        <v>188</v>
      </c>
      <c r="D29" s="137"/>
      <c r="E29" s="137"/>
      <c r="F29" s="137"/>
      <c r="G29" s="137"/>
      <c r="H29" s="137"/>
      <c r="I29" s="137"/>
      <c r="J29" s="212" t="str">
        <f>Assumptions!$G$14</f>
        <v>USD</v>
      </c>
      <c r="K29" s="212"/>
      <c r="L29" s="212"/>
      <c r="M29" s="137"/>
      <c r="N29" s="99">
        <f ca="1">N30-N28</f>
        <v>275621.13513698627</v>
      </c>
      <c r="O29" s="99">
        <f ca="1">O30-O28</f>
        <v>268683.57309938059</v>
      </c>
      <c r="P29" s="99">
        <f ca="1">P30-P28</f>
        <v>274236.59363231889</v>
      </c>
      <c r="Q29" s="99">
        <f ca="1">Q30-Q28</f>
        <v>25442.820230420562</v>
      </c>
      <c r="R29" s="99">
        <f ca="1">R30-R28</f>
        <v>324214.96124194155</v>
      </c>
      <c r="S29" s="629">
        <f t="shared" ref="S29:AV29" ca="1" si="17">R34-S34</f>
        <v>-184697.31298447575</v>
      </c>
      <c r="T29" s="629">
        <f t="shared" ca="1" si="17"/>
        <v>-23154.578172592563</v>
      </c>
      <c r="U29" s="629">
        <f t="shared" ca="1" si="17"/>
        <v>-23733.442626907257</v>
      </c>
      <c r="V29" s="629">
        <f t="shared" ca="1" si="17"/>
        <v>-24326.778692579945</v>
      </c>
      <c r="W29" s="629">
        <f t="shared" ca="1" si="17"/>
        <v>-24934.94815989444</v>
      </c>
      <c r="X29" s="629">
        <f t="shared" ca="1" si="17"/>
        <v>-25558.32186389179</v>
      </c>
      <c r="Y29" s="629">
        <f t="shared" ca="1" si="17"/>
        <v>-26197.279910489102</v>
      </c>
      <c r="Z29" s="629">
        <f t="shared" ca="1" si="17"/>
        <v>-26852.21190825128</v>
      </c>
      <c r="AA29" s="629">
        <f t="shared" ca="1" si="17"/>
        <v>-27523.517205957556</v>
      </c>
      <c r="AB29" s="629">
        <f t="shared" ca="1" si="17"/>
        <v>-28211.605136106489</v>
      </c>
      <c r="AC29" s="629">
        <f t="shared" ca="1" si="17"/>
        <v>-28916.895264509134</v>
      </c>
      <c r="AD29" s="629">
        <f t="shared" ca="1" si="17"/>
        <v>-29639.817646122072</v>
      </c>
      <c r="AE29" s="629">
        <f t="shared" ca="1" si="17"/>
        <v>-30380.813087274786</v>
      </c>
      <c r="AF29" s="629">
        <f t="shared" ca="1" si="17"/>
        <v>-31140.33341445704</v>
      </c>
      <c r="AG29" s="629">
        <f t="shared" ca="1" si="17"/>
        <v>-31918.841749818064</v>
      </c>
      <c r="AH29" s="630">
        <f t="shared" ca="1" si="17"/>
        <v>-32716.812793563819</v>
      </c>
      <c r="AI29" s="629">
        <f t="shared" ca="1" si="17"/>
        <v>-33534.733113402734</v>
      </c>
      <c r="AJ29" s="629">
        <f t="shared" ca="1" si="17"/>
        <v>-34373.101441237843</v>
      </c>
      <c r="AK29" s="629">
        <f t="shared" ca="1" si="17"/>
        <v>-35232.428977268981</v>
      </c>
      <c r="AL29" s="629">
        <f t="shared" ca="1" si="17"/>
        <v>-36113.23970170063</v>
      </c>
      <c r="AM29" s="629">
        <f t="shared" ca="1" si="17"/>
        <v>-37016.07069424307</v>
      </c>
      <c r="AN29" s="629">
        <f t="shared" ca="1" si="17"/>
        <v>-37941.472461598925</v>
      </c>
      <c r="AO29" s="629">
        <f t="shared" ca="1" si="17"/>
        <v>-38890.009273139294</v>
      </c>
      <c r="AP29" s="629">
        <f t="shared" ca="1" si="17"/>
        <v>-39862.259504967602</v>
      </c>
      <c r="AQ29" s="629">
        <f t="shared" ca="1" si="17"/>
        <v>-40858.81599259167</v>
      </c>
      <c r="AR29" s="629">
        <f t="shared" ca="1" si="17"/>
        <v>-41880.28639240656</v>
      </c>
      <c r="AS29" s="629">
        <f t="shared" ca="1" si="17"/>
        <v>-42927.293552216841</v>
      </c>
      <c r="AT29" s="629">
        <f t="shared" ca="1" si="17"/>
        <v>-44000.475891022244</v>
      </c>
      <c r="AU29" s="629">
        <f t="shared" ca="1" si="17"/>
        <v>-45100.487788297702</v>
      </c>
      <c r="AV29" s="629">
        <f t="shared" ca="1" si="17"/>
        <v>-46227.999983004993</v>
      </c>
      <c r="AW29" s="168"/>
    </row>
    <row r="30" spans="1:51" s="139" customFormat="1" ht="15" customHeight="1" x14ac:dyDescent="0.35">
      <c r="A30" s="13"/>
      <c r="B30" s="185"/>
      <c r="C30" s="208" t="s">
        <v>37</v>
      </c>
      <c r="D30" s="208"/>
      <c r="E30" s="208"/>
      <c r="F30" s="208"/>
      <c r="G30" s="208"/>
      <c r="H30" s="208"/>
      <c r="I30" s="208"/>
      <c r="J30" s="209" t="str">
        <f>Assumptions!$G$14</f>
        <v>USD</v>
      </c>
      <c r="K30" s="209"/>
      <c r="L30" s="209"/>
      <c r="M30" s="208"/>
      <c r="N30" s="357">
        <f ca="1">DCF!N32</f>
        <v>876134.64650062227</v>
      </c>
      <c r="O30" s="357">
        <f ca="1">DCF!O32</f>
        <v>931110.59781528939</v>
      </c>
      <c r="P30" s="357">
        <f ca="1">DCF!P32</f>
        <v>995341.62021612527</v>
      </c>
      <c r="Q30" s="357">
        <f ca="1">DCF!Q32</f>
        <v>745484.17844114464</v>
      </c>
      <c r="R30" s="357">
        <f ca="1">DCF!R32</f>
        <v>988105.73426885519</v>
      </c>
      <c r="S30" s="631">
        <f t="shared" ref="S30:AV30" ca="1" si="18">SUM(S28:S29)</f>
        <v>425584.56543679221</v>
      </c>
      <c r="T30" s="631">
        <f t="shared" ca="1" si="18"/>
        <v>655243.3221912327</v>
      </c>
      <c r="U30" s="631">
        <f t="shared" ca="1" si="18"/>
        <v>658047.96951960993</v>
      </c>
      <c r="V30" s="631">
        <f t="shared" ca="1" si="18"/>
        <v>655016.98349021096</v>
      </c>
      <c r="W30" s="631">
        <f t="shared" ca="1" si="18"/>
        <v>645717.67106437136</v>
      </c>
      <c r="X30" s="631">
        <f t="shared" ca="1" si="18"/>
        <v>629695.87286068662</v>
      </c>
      <c r="Y30" s="631">
        <f t="shared" ca="1" si="18"/>
        <v>606475.07329698419</v>
      </c>
      <c r="Z30" s="631">
        <f t="shared" ca="1" si="18"/>
        <v>575555.47748150467</v>
      </c>
      <c r="AA30" s="631">
        <f t="shared" ca="1" si="18"/>
        <v>536413.05369256041</v>
      </c>
      <c r="AB30" s="631">
        <f t="shared" ca="1" si="18"/>
        <v>488498.54024731566</v>
      </c>
      <c r="AC30" s="631">
        <f t="shared" ca="1" si="18"/>
        <v>431236.41552048817</v>
      </c>
      <c r="AD30" s="631">
        <f t="shared" ca="1" si="18"/>
        <v>364023.8298326325</v>
      </c>
      <c r="AE30" s="631">
        <f t="shared" ca="1" si="18"/>
        <v>286229.4978852265</v>
      </c>
      <c r="AF30" s="631">
        <f t="shared" ca="1" si="18"/>
        <v>197192.55037595995</v>
      </c>
      <c r="AG30" s="631">
        <f t="shared" ca="1" si="18"/>
        <v>96221.343382437175</v>
      </c>
      <c r="AH30" s="632">
        <f t="shared" ca="1" si="18"/>
        <v>98626.876966997777</v>
      </c>
      <c r="AI30" s="631">
        <f t="shared" ca="1" si="18"/>
        <v>101092.54889117289</v>
      </c>
      <c r="AJ30" s="631">
        <f t="shared" ca="1" si="18"/>
        <v>103619.86261345216</v>
      </c>
      <c r="AK30" s="631">
        <f t="shared" ca="1" si="18"/>
        <v>106210.35917878826</v>
      </c>
      <c r="AL30" s="631">
        <f t="shared" ca="1" si="18"/>
        <v>108865.61815825806</v>
      </c>
      <c r="AM30" s="631">
        <f t="shared" ca="1" si="18"/>
        <v>111587.25861221456</v>
      </c>
      <c r="AN30" s="631">
        <f t="shared" ca="1" si="18"/>
        <v>114376.94007752012</v>
      </c>
      <c r="AO30" s="631">
        <f t="shared" ca="1" si="18"/>
        <v>117236.36357945774</v>
      </c>
      <c r="AP30" s="631">
        <f t="shared" ca="1" si="18"/>
        <v>120167.27266894432</v>
      </c>
      <c r="AQ30" s="631">
        <f t="shared" ca="1" si="18"/>
        <v>123171.45448566804</v>
      </c>
      <c r="AR30" s="631">
        <f t="shared" ca="1" si="18"/>
        <v>126250.74084780965</v>
      </c>
      <c r="AS30" s="631">
        <f t="shared" ca="1" si="18"/>
        <v>129407.00936900478</v>
      </c>
      <c r="AT30" s="631">
        <f t="shared" ca="1" si="18"/>
        <v>132642.18460322989</v>
      </c>
      <c r="AU30" s="631">
        <f t="shared" ca="1" si="18"/>
        <v>135958.23921831071</v>
      </c>
      <c r="AV30" s="631">
        <f t="shared" ca="1" si="18"/>
        <v>139357.19519876863</v>
      </c>
      <c r="AW30" s="344"/>
      <c r="AY30" s="345"/>
    </row>
    <row r="31" spans="1:51" ht="15" customHeight="1" x14ac:dyDescent="0.35">
      <c r="B31" s="160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26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68"/>
    </row>
    <row r="32" spans="1:51" ht="15" hidden="1" customHeight="1" outlineLevel="1" x14ac:dyDescent="0.35">
      <c r="B32" s="160"/>
      <c r="C32" s="359" t="str">
        <f>Financials!C86</f>
        <v>Capital Expenditures</v>
      </c>
      <c r="D32" s="359"/>
      <c r="E32" s="359"/>
      <c r="F32" s="359"/>
      <c r="G32" s="359"/>
      <c r="H32" s="137"/>
      <c r="I32" s="137"/>
      <c r="J32" s="212" t="str">
        <f>Assumptions!$G$14</f>
        <v>USD</v>
      </c>
      <c r="K32" s="212"/>
      <c r="L32" s="212"/>
      <c r="M32" s="137"/>
      <c r="N32" s="356">
        <f>Financials!O86</f>
        <v>0</v>
      </c>
      <c r="O32" s="356">
        <f>Financials!P86</f>
        <v>0</v>
      </c>
      <c r="P32" s="356">
        <f>Financials!Q86</f>
        <v>0</v>
      </c>
      <c r="Q32" s="356">
        <f>Financials!R86</f>
        <v>-250000</v>
      </c>
      <c r="R32" s="356">
        <f>Financials!S86</f>
        <v>0</v>
      </c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26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68"/>
    </row>
    <row r="33" spans="1:51" ht="15" hidden="1" customHeight="1" outlineLevel="1" x14ac:dyDescent="0.35">
      <c r="B33" s="160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270"/>
      <c r="O33" s="270"/>
      <c r="P33" s="270"/>
      <c r="Q33" s="270"/>
      <c r="R33" s="270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26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68"/>
    </row>
    <row r="34" spans="1:51" s="139" customFormat="1" ht="15" customHeight="1" collapsed="1" x14ac:dyDescent="0.35">
      <c r="A34" s="13"/>
      <c r="B34" s="185"/>
      <c r="C34" s="139" t="s">
        <v>91</v>
      </c>
      <c r="J34" s="212" t="str">
        <f>Assumptions!$G$14</f>
        <v>USD</v>
      </c>
      <c r="K34" s="212"/>
      <c r="L34" s="212"/>
      <c r="N34" s="346">
        <f ca="1">Financials!O152</f>
        <v>1634063.7621232879</v>
      </c>
      <c r="O34" s="346">
        <f ca="1">Financials!P152</f>
        <v>1365380.1890239073</v>
      </c>
      <c r="P34" s="346">
        <f ca="1">Financials!Q152</f>
        <v>1091143.5953915883</v>
      </c>
      <c r="Q34" s="346">
        <f ca="1">Financials!R152</f>
        <v>1065700.7751611681</v>
      </c>
      <c r="R34" s="346">
        <f ca="1">Financials!S152</f>
        <v>741485.81391922617</v>
      </c>
      <c r="S34" s="627">
        <f ca="1">IFERROR(S18/S35,0)</f>
        <v>926183.12690370192</v>
      </c>
      <c r="T34" s="627">
        <f t="shared" ref="T34:AV34" ca="1" si="19">IFERROR(T18/T35,0)</f>
        <v>949337.70507629449</v>
      </c>
      <c r="U34" s="627">
        <f t="shared" ca="1" si="19"/>
        <v>973071.14770320174</v>
      </c>
      <c r="V34" s="627">
        <f t="shared" ca="1" si="19"/>
        <v>997397.92639578169</v>
      </c>
      <c r="W34" s="627">
        <f t="shared" ca="1" si="19"/>
        <v>1022332.8745556761</v>
      </c>
      <c r="X34" s="627">
        <f t="shared" ca="1" si="19"/>
        <v>1047891.1964195679</v>
      </c>
      <c r="Y34" s="627">
        <f t="shared" ca="1" si="19"/>
        <v>1074088.476330057</v>
      </c>
      <c r="Z34" s="627">
        <f t="shared" ca="1" si="19"/>
        <v>1100940.6882383083</v>
      </c>
      <c r="AA34" s="627">
        <f t="shared" ca="1" si="19"/>
        <v>1128464.2054442659</v>
      </c>
      <c r="AB34" s="627">
        <f t="shared" ca="1" si="19"/>
        <v>1156675.8105803723</v>
      </c>
      <c r="AC34" s="627">
        <f t="shared" ca="1" si="19"/>
        <v>1185592.7058448815</v>
      </c>
      <c r="AD34" s="627">
        <f t="shared" ca="1" si="19"/>
        <v>1215232.5234910036</v>
      </c>
      <c r="AE34" s="627">
        <f t="shared" ca="1" si="19"/>
        <v>1245613.3365782783</v>
      </c>
      <c r="AF34" s="627">
        <f t="shared" ca="1" si="19"/>
        <v>1276753.6699927354</v>
      </c>
      <c r="AG34" s="627">
        <f t="shared" ca="1" si="19"/>
        <v>1308672.5117425534</v>
      </c>
      <c r="AH34" s="628">
        <f t="shared" ca="1" si="19"/>
        <v>1341389.3245361173</v>
      </c>
      <c r="AI34" s="627">
        <f t="shared" ca="1" si="19"/>
        <v>1374924.05764952</v>
      </c>
      <c r="AJ34" s="627">
        <f t="shared" ca="1" si="19"/>
        <v>1409297.1590907578</v>
      </c>
      <c r="AK34" s="627">
        <f t="shared" ca="1" si="19"/>
        <v>1444529.5880680268</v>
      </c>
      <c r="AL34" s="627">
        <f t="shared" ca="1" si="19"/>
        <v>1480642.8277697274</v>
      </c>
      <c r="AM34" s="627">
        <f t="shared" ca="1" si="19"/>
        <v>1517658.8984639705</v>
      </c>
      <c r="AN34" s="627">
        <f t="shared" ca="1" si="19"/>
        <v>1555600.3709255694</v>
      </c>
      <c r="AO34" s="627">
        <f t="shared" ca="1" si="19"/>
        <v>1594490.3801987087</v>
      </c>
      <c r="AP34" s="627">
        <f t="shared" ca="1" si="19"/>
        <v>1634352.6397036763</v>
      </c>
      <c r="AQ34" s="627">
        <f t="shared" ca="1" si="19"/>
        <v>1675211.455696268</v>
      </c>
      <c r="AR34" s="627">
        <f t="shared" ca="1" si="19"/>
        <v>1717091.7420886746</v>
      </c>
      <c r="AS34" s="627">
        <f t="shared" ca="1" si="19"/>
        <v>1760019.0356408914</v>
      </c>
      <c r="AT34" s="627">
        <f t="shared" ca="1" si="19"/>
        <v>1804019.5115319137</v>
      </c>
      <c r="AU34" s="627">
        <f t="shared" ca="1" si="19"/>
        <v>1849119.9993202114</v>
      </c>
      <c r="AV34" s="627">
        <f t="shared" ca="1" si="19"/>
        <v>1895347.9993032163</v>
      </c>
      <c r="AW34" s="344"/>
      <c r="AY34" s="345"/>
    </row>
    <row r="35" spans="1:51" ht="15" customHeight="1" x14ac:dyDescent="0.35">
      <c r="B35" s="160"/>
      <c r="C35" s="137" t="str">
        <f>Financials!C133</f>
        <v>Revenue/Invested Capital</v>
      </c>
      <c r="D35" s="137"/>
      <c r="E35" s="137"/>
      <c r="F35" s="137"/>
      <c r="G35" s="137"/>
      <c r="H35" s="137"/>
      <c r="I35" s="137"/>
      <c r="J35" s="204" t="s">
        <v>14</v>
      </c>
      <c r="K35" s="204"/>
      <c r="L35" s="204"/>
      <c r="M35" s="137"/>
      <c r="N35" s="360">
        <f ca="1">Financials!O133</f>
        <v>2.7097471375344728</v>
      </c>
      <c r="O35" s="360">
        <f ca="1">Financials!P133</f>
        <v>4.0554545936247957</v>
      </c>
      <c r="P35" s="360">
        <f ca="1">Financials!Q133</f>
        <v>5.1993448093314676</v>
      </c>
      <c r="Q35" s="360">
        <f ca="1">Financials!R133</f>
        <v>6.2178477408817621</v>
      </c>
      <c r="R35" s="360">
        <f ca="1">Financials!S133</f>
        <v>7.7919327626729782</v>
      </c>
      <c r="S35" s="361">
        <f t="shared" ref="S35:AV35" ca="1" si="20">R35</f>
        <v>7.7919327626729782</v>
      </c>
      <c r="T35" s="362">
        <f t="shared" ca="1" si="20"/>
        <v>7.7919327626729782</v>
      </c>
      <c r="U35" s="362">
        <f t="shared" ca="1" si="20"/>
        <v>7.7919327626729782</v>
      </c>
      <c r="V35" s="362">
        <f t="shared" ca="1" si="20"/>
        <v>7.7919327626729782</v>
      </c>
      <c r="W35" s="362">
        <f t="shared" ca="1" si="20"/>
        <v>7.7919327626729782</v>
      </c>
      <c r="X35" s="362">
        <f t="shared" ca="1" si="20"/>
        <v>7.7919327626729782</v>
      </c>
      <c r="Y35" s="362">
        <f t="shared" ca="1" si="20"/>
        <v>7.7919327626729782</v>
      </c>
      <c r="Z35" s="362">
        <f t="shared" ca="1" si="20"/>
        <v>7.7919327626729782</v>
      </c>
      <c r="AA35" s="362">
        <f t="shared" ca="1" si="20"/>
        <v>7.7919327626729782</v>
      </c>
      <c r="AB35" s="362">
        <f t="shared" ca="1" si="20"/>
        <v>7.7919327626729782</v>
      </c>
      <c r="AC35" s="362">
        <f t="shared" ca="1" si="20"/>
        <v>7.7919327626729782</v>
      </c>
      <c r="AD35" s="362">
        <f t="shared" ca="1" si="20"/>
        <v>7.7919327626729782</v>
      </c>
      <c r="AE35" s="362">
        <f t="shared" ca="1" si="20"/>
        <v>7.7919327626729782</v>
      </c>
      <c r="AF35" s="362">
        <f t="shared" ca="1" si="20"/>
        <v>7.7919327626729782</v>
      </c>
      <c r="AG35" s="362">
        <f t="shared" ca="1" si="20"/>
        <v>7.7919327626729782</v>
      </c>
      <c r="AH35" s="362">
        <f t="shared" ca="1" si="20"/>
        <v>7.7919327626729782</v>
      </c>
      <c r="AI35" s="362">
        <f t="shared" ca="1" si="20"/>
        <v>7.7919327626729782</v>
      </c>
      <c r="AJ35" s="362">
        <f t="shared" ca="1" si="20"/>
        <v>7.7919327626729782</v>
      </c>
      <c r="AK35" s="362">
        <f t="shared" ca="1" si="20"/>
        <v>7.7919327626729782</v>
      </c>
      <c r="AL35" s="362">
        <f t="shared" ca="1" si="20"/>
        <v>7.7919327626729782</v>
      </c>
      <c r="AM35" s="362">
        <f t="shared" ca="1" si="20"/>
        <v>7.7919327626729782</v>
      </c>
      <c r="AN35" s="362">
        <f t="shared" ca="1" si="20"/>
        <v>7.7919327626729782</v>
      </c>
      <c r="AO35" s="362">
        <f t="shared" ca="1" si="20"/>
        <v>7.7919327626729782</v>
      </c>
      <c r="AP35" s="362">
        <f t="shared" ca="1" si="20"/>
        <v>7.7919327626729782</v>
      </c>
      <c r="AQ35" s="362">
        <f t="shared" ca="1" si="20"/>
        <v>7.7919327626729782</v>
      </c>
      <c r="AR35" s="362">
        <f t="shared" ca="1" si="20"/>
        <v>7.7919327626729782</v>
      </c>
      <c r="AS35" s="362">
        <f t="shared" ca="1" si="20"/>
        <v>7.7919327626729782</v>
      </c>
      <c r="AT35" s="362">
        <f t="shared" ca="1" si="20"/>
        <v>7.7919327626729782</v>
      </c>
      <c r="AU35" s="362">
        <f t="shared" ca="1" si="20"/>
        <v>7.7919327626729782</v>
      </c>
      <c r="AV35" s="362">
        <f t="shared" ca="1" si="20"/>
        <v>7.7919327626729782</v>
      </c>
      <c r="AW35" s="168"/>
    </row>
    <row r="36" spans="1:51" ht="15" customHeight="1" x14ac:dyDescent="0.35">
      <c r="B36" s="160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7"/>
      <c r="O36" s="7"/>
      <c r="P36" s="7"/>
      <c r="Q36" s="7"/>
      <c r="R36" s="7"/>
      <c r="S36" s="137"/>
      <c r="T36" s="137"/>
      <c r="U36" s="137"/>
      <c r="V36" s="137"/>
      <c r="W36" s="137"/>
      <c r="Y36" s="137"/>
      <c r="AF36" s="179"/>
      <c r="AG36" s="179"/>
      <c r="AH36" s="179"/>
      <c r="AI36" s="179"/>
      <c r="AJ36" s="179"/>
      <c r="AW36" s="168"/>
    </row>
    <row r="37" spans="1:51" ht="15" customHeight="1" x14ac:dyDescent="0.35">
      <c r="B37" s="160"/>
      <c r="C37" s="13" t="s">
        <v>203</v>
      </c>
      <c r="D37" s="13"/>
      <c r="E37" s="13"/>
      <c r="F37" s="13"/>
      <c r="G37" s="13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Y37" s="223"/>
      <c r="AW37" s="168"/>
    </row>
    <row r="38" spans="1:51" ht="15" customHeight="1" x14ac:dyDescent="0.35">
      <c r="B38" s="160"/>
      <c r="C38" s="18" t="s">
        <v>201</v>
      </c>
      <c r="J38" s="204" t="str">
        <f>Assumptions!$G$14</f>
        <v>USD</v>
      </c>
      <c r="K38" s="204"/>
      <c r="L38" s="204"/>
      <c r="N38" s="195"/>
      <c r="O38" s="195"/>
      <c r="P38" s="195"/>
      <c r="Q38" s="195"/>
      <c r="R38" s="195"/>
      <c r="S38" s="653">
        <f ca="1">IF(S$9&lt;=$I$54,S30,0)</f>
        <v>425584.56543679221</v>
      </c>
      <c r="T38" s="653">
        <f t="shared" ref="T38:AV38" ca="1" si="21">IF(T$9&lt;=$I$54,T30,0)</f>
        <v>655243.3221912327</v>
      </c>
      <c r="U38" s="653">
        <f t="shared" ca="1" si="21"/>
        <v>658047.96951960993</v>
      </c>
      <c r="V38" s="653">
        <f t="shared" ca="1" si="21"/>
        <v>655016.98349021096</v>
      </c>
      <c r="W38" s="653">
        <f t="shared" ca="1" si="21"/>
        <v>645717.67106437136</v>
      </c>
      <c r="X38" s="653">
        <f t="shared" ca="1" si="21"/>
        <v>629695.87286068662</v>
      </c>
      <c r="Y38" s="653">
        <f t="shared" ca="1" si="21"/>
        <v>606475.07329698419</v>
      </c>
      <c r="Z38" s="653">
        <f t="shared" ca="1" si="21"/>
        <v>575555.47748150467</v>
      </c>
      <c r="AA38" s="653">
        <f t="shared" ca="1" si="21"/>
        <v>536413.05369256041</v>
      </c>
      <c r="AB38" s="653">
        <f t="shared" ca="1" si="21"/>
        <v>488498.54024731566</v>
      </c>
      <c r="AC38" s="653">
        <f t="shared" ca="1" si="21"/>
        <v>431236.41552048817</v>
      </c>
      <c r="AD38" s="653">
        <f t="shared" ca="1" si="21"/>
        <v>364023.8298326325</v>
      </c>
      <c r="AE38" s="653">
        <f t="shared" ca="1" si="21"/>
        <v>286229.4978852265</v>
      </c>
      <c r="AF38" s="653">
        <f t="shared" ca="1" si="21"/>
        <v>197192.55037595995</v>
      </c>
      <c r="AG38" s="653">
        <f t="shared" ca="1" si="21"/>
        <v>96221.343382437175</v>
      </c>
      <c r="AH38" s="653">
        <f t="shared" si="21"/>
        <v>0</v>
      </c>
      <c r="AI38" s="653">
        <f t="shared" si="21"/>
        <v>0</v>
      </c>
      <c r="AJ38" s="653">
        <f t="shared" si="21"/>
        <v>0</v>
      </c>
      <c r="AK38" s="653">
        <f t="shared" si="21"/>
        <v>0</v>
      </c>
      <c r="AL38" s="653">
        <f t="shared" si="21"/>
        <v>0</v>
      </c>
      <c r="AM38" s="653">
        <f t="shared" si="21"/>
        <v>0</v>
      </c>
      <c r="AN38" s="653">
        <f t="shared" si="21"/>
        <v>0</v>
      </c>
      <c r="AO38" s="653">
        <f t="shared" si="21"/>
        <v>0</v>
      </c>
      <c r="AP38" s="653">
        <f t="shared" si="21"/>
        <v>0</v>
      </c>
      <c r="AQ38" s="653">
        <f t="shared" si="21"/>
        <v>0</v>
      </c>
      <c r="AR38" s="653">
        <f t="shared" si="21"/>
        <v>0</v>
      </c>
      <c r="AS38" s="653">
        <f t="shared" si="21"/>
        <v>0</v>
      </c>
      <c r="AT38" s="653">
        <f t="shared" si="21"/>
        <v>0</v>
      </c>
      <c r="AU38" s="653">
        <f t="shared" si="21"/>
        <v>0</v>
      </c>
      <c r="AV38" s="653">
        <f t="shared" si="21"/>
        <v>0</v>
      </c>
      <c r="AW38" s="168"/>
    </row>
    <row r="39" spans="1:51" ht="15" customHeight="1" x14ac:dyDescent="0.35">
      <c r="B39" s="160"/>
      <c r="C39" s="18" t="s">
        <v>202</v>
      </c>
      <c r="J39" s="204" t="str">
        <f>Assumptions!$G$14</f>
        <v>USD</v>
      </c>
      <c r="K39" s="204"/>
      <c r="L39" s="204"/>
      <c r="N39" s="195"/>
      <c r="O39" s="195"/>
      <c r="P39" s="195"/>
      <c r="Q39" s="195"/>
      <c r="R39" s="195"/>
      <c r="S39" s="653">
        <f t="shared" ref="S39:AV39" si="22">IF(S$9=$I$54,S30/($J$57-$J$58),0)</f>
        <v>0</v>
      </c>
      <c r="T39" s="653">
        <f t="shared" si="22"/>
        <v>0</v>
      </c>
      <c r="U39" s="653">
        <f t="shared" si="22"/>
        <v>0</v>
      </c>
      <c r="V39" s="653">
        <f t="shared" si="22"/>
        <v>0</v>
      </c>
      <c r="W39" s="653">
        <f t="shared" si="22"/>
        <v>0</v>
      </c>
      <c r="X39" s="653">
        <f t="shared" si="22"/>
        <v>0</v>
      </c>
      <c r="Y39" s="653">
        <f t="shared" si="22"/>
        <v>0</v>
      </c>
      <c r="Z39" s="653">
        <f t="shared" si="22"/>
        <v>0</v>
      </c>
      <c r="AA39" s="653">
        <f t="shared" si="22"/>
        <v>0</v>
      </c>
      <c r="AB39" s="653">
        <f t="shared" si="22"/>
        <v>0</v>
      </c>
      <c r="AC39" s="653">
        <f t="shared" si="22"/>
        <v>0</v>
      </c>
      <c r="AD39" s="653">
        <f t="shared" si="22"/>
        <v>0</v>
      </c>
      <c r="AE39" s="653">
        <f t="shared" si="22"/>
        <v>0</v>
      </c>
      <c r="AF39" s="653">
        <f t="shared" si="22"/>
        <v>0</v>
      </c>
      <c r="AG39" s="653">
        <f t="shared" ca="1" si="22"/>
        <v>1298095.6948726769</v>
      </c>
      <c r="AH39" s="653">
        <f t="shared" si="22"/>
        <v>0</v>
      </c>
      <c r="AI39" s="653">
        <f t="shared" si="22"/>
        <v>0</v>
      </c>
      <c r="AJ39" s="653">
        <f t="shared" si="22"/>
        <v>0</v>
      </c>
      <c r="AK39" s="653">
        <f t="shared" si="22"/>
        <v>0</v>
      </c>
      <c r="AL39" s="653">
        <f t="shared" si="22"/>
        <v>0</v>
      </c>
      <c r="AM39" s="653">
        <f t="shared" si="22"/>
        <v>0</v>
      </c>
      <c r="AN39" s="653">
        <f t="shared" si="22"/>
        <v>0</v>
      </c>
      <c r="AO39" s="653">
        <f t="shared" si="22"/>
        <v>0</v>
      </c>
      <c r="AP39" s="653">
        <f t="shared" si="22"/>
        <v>0</v>
      </c>
      <c r="AQ39" s="653">
        <f t="shared" si="22"/>
        <v>0</v>
      </c>
      <c r="AR39" s="653">
        <f t="shared" si="22"/>
        <v>0</v>
      </c>
      <c r="AS39" s="653">
        <f t="shared" si="22"/>
        <v>0</v>
      </c>
      <c r="AT39" s="653">
        <f t="shared" si="22"/>
        <v>0</v>
      </c>
      <c r="AU39" s="653">
        <f t="shared" si="22"/>
        <v>0</v>
      </c>
      <c r="AV39" s="653">
        <f t="shared" si="22"/>
        <v>0</v>
      </c>
      <c r="AW39" s="168"/>
    </row>
    <row r="40" spans="1:51" ht="15" customHeight="1" x14ac:dyDescent="0.35">
      <c r="B40" s="160"/>
      <c r="C40" s="363" t="s">
        <v>204</v>
      </c>
      <c r="D40" s="363"/>
      <c r="E40" s="363"/>
      <c r="F40" s="363"/>
      <c r="G40" s="363"/>
      <c r="H40" s="363"/>
      <c r="I40" s="363"/>
      <c r="J40" s="209" t="str">
        <f>Assumptions!$G$14</f>
        <v>USD</v>
      </c>
      <c r="K40" s="209"/>
      <c r="L40" s="209"/>
      <c r="M40" s="363"/>
      <c r="N40" s="364"/>
      <c r="O40" s="364"/>
      <c r="P40" s="364"/>
      <c r="Q40" s="364"/>
      <c r="R40" s="364"/>
      <c r="S40" s="654">
        <f t="shared" ref="S40:AV40" ca="1" si="23">SUM(S38:S39)</f>
        <v>425584.56543679221</v>
      </c>
      <c r="T40" s="654">
        <f t="shared" ca="1" si="23"/>
        <v>655243.3221912327</v>
      </c>
      <c r="U40" s="654">
        <f t="shared" ca="1" si="23"/>
        <v>658047.96951960993</v>
      </c>
      <c r="V40" s="654">
        <f t="shared" ca="1" si="23"/>
        <v>655016.98349021096</v>
      </c>
      <c r="W40" s="654">
        <f t="shared" ca="1" si="23"/>
        <v>645717.67106437136</v>
      </c>
      <c r="X40" s="654">
        <f t="shared" ca="1" si="23"/>
        <v>629695.87286068662</v>
      </c>
      <c r="Y40" s="654">
        <f t="shared" ca="1" si="23"/>
        <v>606475.07329698419</v>
      </c>
      <c r="Z40" s="654">
        <f t="shared" ca="1" si="23"/>
        <v>575555.47748150467</v>
      </c>
      <c r="AA40" s="654">
        <f t="shared" ca="1" si="23"/>
        <v>536413.05369256041</v>
      </c>
      <c r="AB40" s="654">
        <f t="shared" ca="1" si="23"/>
        <v>488498.54024731566</v>
      </c>
      <c r="AC40" s="654">
        <f t="shared" ca="1" si="23"/>
        <v>431236.41552048817</v>
      </c>
      <c r="AD40" s="654">
        <f t="shared" ca="1" si="23"/>
        <v>364023.8298326325</v>
      </c>
      <c r="AE40" s="654">
        <f t="shared" ca="1" si="23"/>
        <v>286229.4978852265</v>
      </c>
      <c r="AF40" s="654">
        <f t="shared" ca="1" si="23"/>
        <v>197192.55037595995</v>
      </c>
      <c r="AG40" s="654">
        <f t="shared" ca="1" si="23"/>
        <v>1394317.0382551141</v>
      </c>
      <c r="AH40" s="654">
        <f t="shared" si="23"/>
        <v>0</v>
      </c>
      <c r="AI40" s="654">
        <f t="shared" si="23"/>
        <v>0</v>
      </c>
      <c r="AJ40" s="654">
        <f t="shared" si="23"/>
        <v>0</v>
      </c>
      <c r="AK40" s="654">
        <f t="shared" si="23"/>
        <v>0</v>
      </c>
      <c r="AL40" s="654">
        <f t="shared" si="23"/>
        <v>0</v>
      </c>
      <c r="AM40" s="654">
        <f t="shared" si="23"/>
        <v>0</v>
      </c>
      <c r="AN40" s="654">
        <f t="shared" si="23"/>
        <v>0</v>
      </c>
      <c r="AO40" s="654">
        <f t="shared" si="23"/>
        <v>0</v>
      </c>
      <c r="AP40" s="654">
        <f t="shared" si="23"/>
        <v>0</v>
      </c>
      <c r="AQ40" s="654">
        <f t="shared" si="23"/>
        <v>0</v>
      </c>
      <c r="AR40" s="654">
        <f t="shared" si="23"/>
        <v>0</v>
      </c>
      <c r="AS40" s="654">
        <f t="shared" si="23"/>
        <v>0</v>
      </c>
      <c r="AT40" s="654">
        <f t="shared" si="23"/>
        <v>0</v>
      </c>
      <c r="AU40" s="654">
        <f t="shared" si="23"/>
        <v>0</v>
      </c>
      <c r="AV40" s="654">
        <f t="shared" si="23"/>
        <v>0</v>
      </c>
      <c r="AW40" s="168"/>
    </row>
    <row r="41" spans="1:51" ht="15" customHeight="1" x14ac:dyDescent="0.35">
      <c r="B41" s="160"/>
      <c r="C41" s="18" t="s">
        <v>13</v>
      </c>
      <c r="J41" s="204" t="s">
        <v>14</v>
      </c>
      <c r="K41" s="204"/>
      <c r="L41" s="204"/>
      <c r="N41" s="195"/>
      <c r="O41" s="195"/>
      <c r="P41" s="195"/>
      <c r="Q41" s="195"/>
      <c r="R41" s="195"/>
      <c r="S41" s="365">
        <f>1/(1+$I$57)</f>
        <v>0.90981462527010126</v>
      </c>
      <c r="T41" s="365">
        <f>S41/(1+$I$57)</f>
        <v>0.82776265235537483</v>
      </c>
      <c r="U41" s="365">
        <f t="shared" ref="U41:AV41" si="24">T41/(1+$I$57)</f>
        <v>0.75311056736529047</v>
      </c>
      <c r="V41" s="365">
        <f t="shared" si="24"/>
        <v>0.68519100863440507</v>
      </c>
      <c r="W41" s="365">
        <f t="shared" si="24"/>
        <v>0.62339680075915405</v>
      </c>
      <c r="X41" s="365">
        <f t="shared" si="24"/>
        <v>0.56717552667726978</v>
      </c>
      <c r="Y41" s="365">
        <f t="shared" si="24"/>
        <v>0.5160245892662525</v>
      </c>
      <c r="Z41" s="365">
        <f t="shared" si="24"/>
        <v>0.46948671831343347</v>
      </c>
      <c r="AA41" s="365">
        <f t="shared" si="24"/>
        <v>0.42714588269162607</v>
      </c>
      <c r="AB41" s="365">
        <f t="shared" si="24"/>
        <v>0.3886235711967484</v>
      </c>
      <c r="AC41" s="365">
        <f t="shared" si="24"/>
        <v>0.35357540879949817</v>
      </c>
      <c r="AD41" s="365">
        <f t="shared" si="24"/>
        <v>0.32168807806163829</v>
      </c>
      <c r="AE41" s="365">
        <f t="shared" si="24"/>
        <v>0.29267651819550855</v>
      </c>
      <c r="AF41" s="365">
        <f t="shared" si="24"/>
        <v>0.2662813767274046</v>
      </c>
      <c r="AG41" s="365">
        <f t="shared" si="24"/>
        <v>0.24226669098365028</v>
      </c>
      <c r="AH41" s="365">
        <f t="shared" si="24"/>
        <v>0.2204177786727172</v>
      </c>
      <c r="AI41" s="365">
        <f t="shared" si="24"/>
        <v>0.20053931870598632</v>
      </c>
      <c r="AJ41" s="365">
        <f t="shared" si="24"/>
        <v>0.18245360510040837</v>
      </c>
      <c r="AK41" s="365">
        <f t="shared" si="24"/>
        <v>0.16599895835360709</v>
      </c>
      <c r="AL41" s="365">
        <f t="shared" si="24"/>
        <v>0.1510282800897142</v>
      </c>
      <c r="AM41" s="365">
        <f t="shared" si="24"/>
        <v>0.13740773805501122</v>
      </c>
      <c r="AN41" s="365">
        <f t="shared" si="24"/>
        <v>0.12501556970773228</v>
      </c>
      <c r="AO41" s="365">
        <f t="shared" si="24"/>
        <v>0.11374099370656868</v>
      </c>
      <c r="AP41" s="365">
        <f t="shared" si="24"/>
        <v>0.10348321956699073</v>
      </c>
      <c r="AQ41" s="365">
        <f t="shared" si="24"/>
        <v>9.4150546632085289E-2</v>
      </c>
      <c r="AR41" s="365">
        <f t="shared" si="24"/>
        <v>8.565954430304587E-2</v>
      </c>
      <c r="AS41" s="365">
        <f t="shared" si="24"/>
        <v>7.7934306200883319E-2</v>
      </c>
      <c r="AT41" s="365">
        <f t="shared" si="24"/>
        <v>7.0905771591841985E-2</v>
      </c>
      <c r="AU41" s="365">
        <f t="shared" si="24"/>
        <v>6.4511108010319104E-2</v>
      </c>
      <c r="AV41" s="365">
        <f t="shared" si="24"/>
        <v>5.8693149560167503E-2</v>
      </c>
      <c r="AW41" s="168"/>
    </row>
    <row r="42" spans="1:51" ht="15" customHeight="1" x14ac:dyDescent="0.35">
      <c r="B42" s="160"/>
      <c r="J42" s="204"/>
      <c r="K42" s="204"/>
      <c r="L42" s="204"/>
      <c r="N42" s="195"/>
      <c r="O42" s="195"/>
      <c r="P42" s="195"/>
      <c r="Q42" s="195"/>
      <c r="R42" s="195"/>
      <c r="S42" s="365"/>
      <c r="T42" s="365"/>
      <c r="U42" s="365"/>
      <c r="V42" s="365"/>
      <c r="W42" s="365"/>
      <c r="X42" s="365"/>
      <c r="Y42" s="365"/>
      <c r="Z42" s="365"/>
      <c r="AA42" s="365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365"/>
      <c r="AT42" s="365"/>
      <c r="AU42" s="365"/>
      <c r="AV42" s="365"/>
      <c r="AW42" s="168"/>
    </row>
    <row r="43" spans="1:51" ht="15" customHeight="1" x14ac:dyDescent="0.35">
      <c r="B43" s="160"/>
      <c r="C43" s="18" t="s">
        <v>235</v>
      </c>
      <c r="D43" s="18" t="s">
        <v>211</v>
      </c>
      <c r="J43" s="204" t="str">
        <f>Assumptions!$G$14</f>
        <v>USD</v>
      </c>
      <c r="K43" s="204"/>
      <c r="L43" s="204"/>
      <c r="N43" s="195"/>
      <c r="O43" s="195"/>
      <c r="P43" s="195"/>
      <c r="Q43" s="195"/>
      <c r="R43" s="633">
        <f ca="1">SUM(S43:AW43)</f>
        <v>4064979.7368476167</v>
      </c>
      <c r="S43" s="653">
        <f ca="1">S38*S$41</f>
        <v>387203.061923614</v>
      </c>
      <c r="T43" s="653">
        <f t="shared" ref="T43:AV43" ca="1" si="25">T38*T$41</f>
        <v>542385.95031516219</v>
      </c>
      <c r="U43" s="653">
        <f t="shared" ca="1" si="25"/>
        <v>495582.8796784908</v>
      </c>
      <c r="V43" s="653">
        <f t="shared" ca="1" si="25"/>
        <v>448811.7475903231</v>
      </c>
      <c r="W43" s="653">
        <f t="shared" ca="1" si="25"/>
        <v>402538.33033518086</v>
      </c>
      <c r="X43" s="653">
        <f t="shared" ca="1" si="25"/>
        <v>357148.08833626303</v>
      </c>
      <c r="Y43" s="653">
        <f t="shared" ca="1" si="25"/>
        <v>312956.05059829663</v>
      </c>
      <c r="Z43" s="653">
        <f t="shared" ca="1" si="25"/>
        <v>270215.65233011288</v>
      </c>
      <c r="AA43" s="653">
        <f t="shared" ca="1" si="25"/>
        <v>229126.62730681931</v>
      </c>
      <c r="AB43" s="653">
        <f t="shared" ca="1" si="25"/>
        <v>189842.04723531034</v>
      </c>
      <c r="AC43" s="653">
        <f t="shared" ca="1" si="25"/>
        <v>152474.59190688687</v>
      </c>
      <c r="AD43" s="653">
        <f t="shared" ca="1" si="25"/>
        <v>117102.12618749643</v>
      </c>
      <c r="AE43" s="653">
        <f t="shared" ca="1" si="25"/>
        <v>83772.652845896766</v>
      </c>
      <c r="AF43" s="653">
        <f t="shared" ca="1" si="25"/>
        <v>52508.703794498702</v>
      </c>
      <c r="AG43" s="653">
        <f t="shared" ca="1" si="25"/>
        <v>23311.226463264611</v>
      </c>
      <c r="AH43" s="653">
        <f t="shared" si="25"/>
        <v>0</v>
      </c>
      <c r="AI43" s="653">
        <f t="shared" si="25"/>
        <v>0</v>
      </c>
      <c r="AJ43" s="653">
        <f t="shared" si="25"/>
        <v>0</v>
      </c>
      <c r="AK43" s="653">
        <f t="shared" si="25"/>
        <v>0</v>
      </c>
      <c r="AL43" s="653">
        <f t="shared" si="25"/>
        <v>0</v>
      </c>
      <c r="AM43" s="653">
        <f t="shared" si="25"/>
        <v>0</v>
      </c>
      <c r="AN43" s="653">
        <f t="shared" si="25"/>
        <v>0</v>
      </c>
      <c r="AO43" s="653">
        <f t="shared" si="25"/>
        <v>0</v>
      </c>
      <c r="AP43" s="653">
        <f t="shared" si="25"/>
        <v>0</v>
      </c>
      <c r="AQ43" s="653">
        <f t="shared" si="25"/>
        <v>0</v>
      </c>
      <c r="AR43" s="653">
        <f t="shared" si="25"/>
        <v>0</v>
      </c>
      <c r="AS43" s="653">
        <f t="shared" si="25"/>
        <v>0</v>
      </c>
      <c r="AT43" s="653">
        <f t="shared" si="25"/>
        <v>0</v>
      </c>
      <c r="AU43" s="653">
        <f t="shared" si="25"/>
        <v>0</v>
      </c>
      <c r="AV43" s="653">
        <f t="shared" si="25"/>
        <v>0</v>
      </c>
      <c r="AW43" s="168"/>
    </row>
    <row r="44" spans="1:51" ht="15" customHeight="1" x14ac:dyDescent="0.35">
      <c r="B44" s="160"/>
      <c r="C44" s="18" t="s">
        <v>235</v>
      </c>
      <c r="D44" s="18" t="s">
        <v>212</v>
      </c>
      <c r="J44" s="204" t="str">
        <f>Assumptions!$G$14</f>
        <v>USD</v>
      </c>
      <c r="K44" s="204"/>
      <c r="L44" s="204"/>
      <c r="N44" s="195"/>
      <c r="O44" s="195"/>
      <c r="P44" s="195"/>
      <c r="Q44" s="195"/>
      <c r="R44" s="633">
        <f ca="1">SUM(S44:AW44)</f>
        <v>314485.34857692558</v>
      </c>
      <c r="S44" s="653">
        <f>S39*S$41</f>
        <v>0</v>
      </c>
      <c r="T44" s="653">
        <f t="shared" ref="T44:AV44" si="26">T39*T$41</f>
        <v>0</v>
      </c>
      <c r="U44" s="653">
        <f t="shared" si="26"/>
        <v>0</v>
      </c>
      <c r="V44" s="653">
        <f t="shared" si="26"/>
        <v>0</v>
      </c>
      <c r="W44" s="653">
        <f t="shared" si="26"/>
        <v>0</v>
      </c>
      <c r="X44" s="653">
        <f t="shared" si="26"/>
        <v>0</v>
      </c>
      <c r="Y44" s="653">
        <f t="shared" si="26"/>
        <v>0</v>
      </c>
      <c r="Z44" s="653">
        <f t="shared" si="26"/>
        <v>0</v>
      </c>
      <c r="AA44" s="653">
        <f t="shared" si="26"/>
        <v>0</v>
      </c>
      <c r="AB44" s="653">
        <f t="shared" si="26"/>
        <v>0</v>
      </c>
      <c r="AC44" s="653">
        <f t="shared" si="26"/>
        <v>0</v>
      </c>
      <c r="AD44" s="653">
        <f t="shared" si="26"/>
        <v>0</v>
      </c>
      <c r="AE44" s="653">
        <f t="shared" si="26"/>
        <v>0</v>
      </c>
      <c r="AF44" s="653">
        <f t="shared" si="26"/>
        <v>0</v>
      </c>
      <c r="AG44" s="653">
        <f t="shared" ca="1" si="26"/>
        <v>314485.34857692558</v>
      </c>
      <c r="AH44" s="653">
        <f t="shared" si="26"/>
        <v>0</v>
      </c>
      <c r="AI44" s="653">
        <f t="shared" si="26"/>
        <v>0</v>
      </c>
      <c r="AJ44" s="653">
        <f t="shared" si="26"/>
        <v>0</v>
      </c>
      <c r="AK44" s="653">
        <f t="shared" si="26"/>
        <v>0</v>
      </c>
      <c r="AL44" s="653">
        <f t="shared" si="26"/>
        <v>0</v>
      </c>
      <c r="AM44" s="653">
        <f t="shared" si="26"/>
        <v>0</v>
      </c>
      <c r="AN44" s="653">
        <f t="shared" si="26"/>
        <v>0</v>
      </c>
      <c r="AO44" s="653">
        <f t="shared" si="26"/>
        <v>0</v>
      </c>
      <c r="AP44" s="653">
        <f t="shared" si="26"/>
        <v>0</v>
      </c>
      <c r="AQ44" s="653">
        <f t="shared" si="26"/>
        <v>0</v>
      </c>
      <c r="AR44" s="653">
        <f t="shared" si="26"/>
        <v>0</v>
      </c>
      <c r="AS44" s="653">
        <f t="shared" si="26"/>
        <v>0</v>
      </c>
      <c r="AT44" s="653">
        <f t="shared" si="26"/>
        <v>0</v>
      </c>
      <c r="AU44" s="653">
        <f t="shared" si="26"/>
        <v>0</v>
      </c>
      <c r="AV44" s="653">
        <f t="shared" si="26"/>
        <v>0</v>
      </c>
      <c r="AW44" s="168"/>
    </row>
    <row r="45" spans="1:51" ht="15" customHeight="1" x14ac:dyDescent="0.35">
      <c r="B45" s="160"/>
      <c r="C45" s="289" t="s">
        <v>236</v>
      </c>
      <c r="D45" s="289"/>
      <c r="E45" s="289"/>
      <c r="F45" s="289"/>
      <c r="G45" s="289"/>
      <c r="H45" s="289"/>
      <c r="I45" s="289"/>
      <c r="J45" s="366" t="str">
        <f>Assumptions!$G$14</f>
        <v>USD</v>
      </c>
      <c r="K45" s="366"/>
      <c r="L45" s="366"/>
      <c r="M45" s="289"/>
      <c r="N45" s="289"/>
      <c r="O45" s="289"/>
      <c r="P45" s="289"/>
      <c r="Q45" s="289"/>
      <c r="R45" s="634">
        <f ca="1">SUM(S45:AV45)</f>
        <v>4379465.0854245424</v>
      </c>
      <c r="S45" s="655">
        <f ca="1">SUM(S43:S44)</f>
        <v>387203.061923614</v>
      </c>
      <c r="T45" s="655">
        <f t="shared" ref="T45:AV45" ca="1" si="27">SUM(T43:T44)</f>
        <v>542385.95031516219</v>
      </c>
      <c r="U45" s="655">
        <f t="shared" ca="1" si="27"/>
        <v>495582.8796784908</v>
      </c>
      <c r="V45" s="655">
        <f t="shared" ca="1" si="27"/>
        <v>448811.7475903231</v>
      </c>
      <c r="W45" s="655">
        <f t="shared" ca="1" si="27"/>
        <v>402538.33033518086</v>
      </c>
      <c r="X45" s="655">
        <f t="shared" ca="1" si="27"/>
        <v>357148.08833626303</v>
      </c>
      <c r="Y45" s="655">
        <f t="shared" ca="1" si="27"/>
        <v>312956.05059829663</v>
      </c>
      <c r="Z45" s="655">
        <f t="shared" ca="1" si="27"/>
        <v>270215.65233011288</v>
      </c>
      <c r="AA45" s="655">
        <f t="shared" ca="1" si="27"/>
        <v>229126.62730681931</v>
      </c>
      <c r="AB45" s="655">
        <f t="shared" ca="1" si="27"/>
        <v>189842.04723531034</v>
      </c>
      <c r="AC45" s="655">
        <f t="shared" ca="1" si="27"/>
        <v>152474.59190688687</v>
      </c>
      <c r="AD45" s="655">
        <f t="shared" ca="1" si="27"/>
        <v>117102.12618749643</v>
      </c>
      <c r="AE45" s="655">
        <f t="shared" ca="1" si="27"/>
        <v>83772.652845896766</v>
      </c>
      <c r="AF45" s="655">
        <f t="shared" ca="1" si="27"/>
        <v>52508.703794498702</v>
      </c>
      <c r="AG45" s="655">
        <f t="shared" ca="1" si="27"/>
        <v>337796.57504019019</v>
      </c>
      <c r="AH45" s="655">
        <f t="shared" si="27"/>
        <v>0</v>
      </c>
      <c r="AI45" s="655">
        <f t="shared" si="27"/>
        <v>0</v>
      </c>
      <c r="AJ45" s="655">
        <f t="shared" si="27"/>
        <v>0</v>
      </c>
      <c r="AK45" s="655">
        <f t="shared" si="27"/>
        <v>0</v>
      </c>
      <c r="AL45" s="655">
        <f t="shared" si="27"/>
        <v>0</v>
      </c>
      <c r="AM45" s="655">
        <f t="shared" si="27"/>
        <v>0</v>
      </c>
      <c r="AN45" s="655">
        <f t="shared" si="27"/>
        <v>0</v>
      </c>
      <c r="AO45" s="655">
        <f t="shared" si="27"/>
        <v>0</v>
      </c>
      <c r="AP45" s="655">
        <f t="shared" si="27"/>
        <v>0</v>
      </c>
      <c r="AQ45" s="655">
        <f t="shared" si="27"/>
        <v>0</v>
      </c>
      <c r="AR45" s="655">
        <f t="shared" si="27"/>
        <v>0</v>
      </c>
      <c r="AS45" s="655">
        <f t="shared" si="27"/>
        <v>0</v>
      </c>
      <c r="AT45" s="655">
        <f t="shared" si="27"/>
        <v>0</v>
      </c>
      <c r="AU45" s="655">
        <f t="shared" si="27"/>
        <v>0</v>
      </c>
      <c r="AV45" s="655">
        <f t="shared" si="27"/>
        <v>0</v>
      </c>
      <c r="AW45" s="168"/>
    </row>
    <row r="46" spans="1:51" ht="15" customHeight="1" x14ac:dyDescent="0.35">
      <c r="B46" s="160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578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68"/>
    </row>
    <row r="47" spans="1:51" ht="15" customHeight="1" x14ac:dyDescent="0.35">
      <c r="B47" s="160"/>
      <c r="C47" s="200" t="str">
        <f>"TV "&amp;C7</f>
        <v>TV Two Stage Value Driver</v>
      </c>
      <c r="D47" s="200"/>
      <c r="E47" s="200"/>
      <c r="F47" s="200"/>
      <c r="G47" s="200"/>
      <c r="H47" s="260"/>
      <c r="I47" s="260"/>
      <c r="J47" s="367" t="str">
        <f>Financials!G30</f>
        <v>USD</v>
      </c>
      <c r="K47" s="367"/>
      <c r="L47" s="367"/>
      <c r="M47" s="260"/>
      <c r="N47" s="368"/>
      <c r="O47" s="368"/>
      <c r="P47" s="368"/>
      <c r="Q47" s="368"/>
      <c r="R47" s="635">
        <f ca="1">SUM(S45:AV45)</f>
        <v>4379465.0854245424</v>
      </c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68"/>
    </row>
    <row r="48" spans="1:51" ht="15" customHeight="1" x14ac:dyDescent="0.35">
      <c r="B48" s="160"/>
      <c r="C48" s="13"/>
      <c r="D48" s="13"/>
      <c r="E48" s="13"/>
      <c r="F48" s="13"/>
      <c r="G48" s="13"/>
      <c r="J48" s="139"/>
      <c r="K48" s="139"/>
      <c r="L48" s="139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68"/>
    </row>
    <row r="49" spans="2:49" ht="15" customHeight="1" x14ac:dyDescent="0.35">
      <c r="B49" s="160"/>
      <c r="C49" s="13"/>
      <c r="D49" s="13"/>
      <c r="E49" s="13"/>
      <c r="F49" s="13"/>
      <c r="G49" s="13"/>
      <c r="J49" s="139"/>
      <c r="K49" s="139"/>
      <c r="L49" s="139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68"/>
    </row>
    <row r="50" spans="2:49" ht="15" customHeight="1" x14ac:dyDescent="0.35">
      <c r="B50" s="160"/>
      <c r="C50" s="169" t="s">
        <v>29</v>
      </c>
      <c r="D50" s="169"/>
      <c r="E50" s="169"/>
      <c r="F50" s="169"/>
      <c r="G50" s="169"/>
      <c r="H50" s="169"/>
      <c r="I50" s="169"/>
      <c r="J50" s="169"/>
      <c r="K50" s="137"/>
      <c r="L50" s="137"/>
      <c r="M50" s="137"/>
      <c r="N50" s="169" t="str">
        <f>"Comparison: "&amp;C7&amp;" vs. "&amp;'Terminal Value'!C24&amp;" (FCF and ROIC)"</f>
        <v>Comparison: Two Stage Value Driver vs. Gordon Growth (FCF and ROIC)</v>
      </c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W50" s="168"/>
    </row>
    <row r="51" spans="2:49" ht="15" customHeight="1" x14ac:dyDescent="0.35">
      <c r="B51" s="160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N51" s="303" t="str">
        <f>C30&amp;" ("&amp;J30&amp;")"</f>
        <v>Free Cash Flow to Firm (USD)</v>
      </c>
      <c r="O51" s="137"/>
      <c r="P51" s="137"/>
      <c r="Q51" s="137"/>
      <c r="R51" s="137"/>
      <c r="S51" s="137"/>
      <c r="T51" s="137"/>
      <c r="U51" s="137"/>
      <c r="V51" s="137"/>
      <c r="W51" s="137"/>
      <c r="Y51" s="137"/>
      <c r="AF51" s="369" t="str">
        <f>C88&amp;" ("&amp;J88&amp;")"</f>
        <v>ROIC Two Stage Value Driver (%)</v>
      </c>
      <c r="AW51" s="168"/>
    </row>
    <row r="52" spans="2:49" ht="15" customHeight="1" x14ac:dyDescent="0.35">
      <c r="B52" s="160"/>
      <c r="C52" s="191" t="s">
        <v>231</v>
      </c>
      <c r="D52" s="191"/>
      <c r="E52" s="191"/>
      <c r="F52" s="191"/>
      <c r="G52" s="191"/>
      <c r="H52" s="191"/>
      <c r="I52" s="370" t="s">
        <v>211</v>
      </c>
      <c r="J52" s="370" t="s">
        <v>212</v>
      </c>
      <c r="K52" s="371"/>
      <c r="L52" s="371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Y52" s="137"/>
      <c r="AW52" s="168"/>
    </row>
    <row r="53" spans="2:49" ht="15" customHeight="1" x14ac:dyDescent="0.35">
      <c r="B53" s="160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O53" s="137"/>
      <c r="P53" s="137"/>
      <c r="Q53" s="137"/>
      <c r="R53" s="137"/>
      <c r="S53" s="137"/>
      <c r="T53" s="137"/>
      <c r="U53" s="137"/>
      <c r="V53" s="137"/>
      <c r="W53" s="137"/>
      <c r="Y53" s="137"/>
      <c r="AW53" s="168"/>
    </row>
    <row r="54" spans="2:49" ht="15" customHeight="1" x14ac:dyDescent="0.35">
      <c r="B54" s="160"/>
      <c r="C54" s="137" t="str">
        <f>Assumptions!K91</f>
        <v>Duration of Competitive Advantage</v>
      </c>
      <c r="D54" s="137"/>
      <c r="E54" s="137"/>
      <c r="F54" s="137"/>
      <c r="H54" s="137" t="str">
        <f>Assumptions!L91</f>
        <v>Years</v>
      </c>
      <c r="I54" s="270">
        <f>Assumptions!M91</f>
        <v>15</v>
      </c>
      <c r="J54" s="372" t="str">
        <f>Assumptions!O91</f>
        <v>NA</v>
      </c>
      <c r="K54" s="372"/>
      <c r="L54" s="372"/>
      <c r="N54" s="137"/>
      <c r="P54" s="137"/>
      <c r="Q54" s="137"/>
      <c r="S54" s="137"/>
      <c r="T54" s="137"/>
      <c r="U54" s="137"/>
      <c r="V54" s="137"/>
      <c r="W54" s="137"/>
      <c r="Y54" s="137"/>
      <c r="AW54" s="168"/>
    </row>
    <row r="55" spans="2:49" ht="15" customHeight="1" x14ac:dyDescent="0.35">
      <c r="B55" s="160"/>
      <c r="C55" s="137" t="str">
        <f>Assumptions!K92</f>
        <v>Start</v>
      </c>
      <c r="D55" s="137"/>
      <c r="E55" s="137"/>
      <c r="F55" s="137"/>
      <c r="H55" s="137" t="str">
        <f>Assumptions!L92</f>
        <v>Year</v>
      </c>
      <c r="I55" s="2">
        <f>Assumptions!M92</f>
        <v>6</v>
      </c>
      <c r="J55" s="636">
        <f>Assumptions!O92</f>
        <v>21</v>
      </c>
      <c r="K55" s="373"/>
      <c r="L55" s="373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Y55" s="137"/>
      <c r="AW55" s="168"/>
    </row>
    <row r="56" spans="2:49" ht="15" customHeight="1" x14ac:dyDescent="0.35">
      <c r="B56" s="160"/>
      <c r="C56" s="137" t="str">
        <f>Assumptions!K93</f>
        <v xml:space="preserve">End </v>
      </c>
      <c r="D56" s="137"/>
      <c r="E56" s="137"/>
      <c r="F56" s="137"/>
      <c r="H56" s="137" t="str">
        <f>Assumptions!L93</f>
        <v>Year</v>
      </c>
      <c r="I56" s="636">
        <f>Assumptions!M93</f>
        <v>20</v>
      </c>
      <c r="J56" s="372" t="str">
        <f>Assumptions!O93</f>
        <v>Infinite</v>
      </c>
      <c r="K56" s="372"/>
      <c r="L56" s="372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Y56" s="137"/>
      <c r="AW56" s="168"/>
    </row>
    <row r="57" spans="2:49" ht="15" customHeight="1" x14ac:dyDescent="0.35">
      <c r="B57" s="160"/>
      <c r="C57" s="137" t="str">
        <f>Assumptions!K94</f>
        <v>Discount Rate</v>
      </c>
      <c r="D57" s="137"/>
      <c r="E57" s="137"/>
      <c r="F57" s="137"/>
      <c r="H57" s="137" t="str">
        <f>Assumptions!L94</f>
        <v>%</v>
      </c>
      <c r="I57" s="373">
        <f>Assumptions!M94</f>
        <v>9.9124999999999991E-2</v>
      </c>
      <c r="J57" s="374">
        <f>Assumptions!O94</f>
        <v>9.9124999999999991E-2</v>
      </c>
      <c r="K57" s="374"/>
      <c r="L57" s="374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Y57" s="137"/>
      <c r="AW57" s="168"/>
    </row>
    <row r="58" spans="2:49" ht="15" customHeight="1" x14ac:dyDescent="0.35">
      <c r="B58" s="160"/>
      <c r="C58" s="137" t="str">
        <f>Assumptions!K97</f>
        <v>Growth Rate</v>
      </c>
      <c r="D58" s="137"/>
      <c r="E58" s="137"/>
      <c r="F58" s="137"/>
      <c r="H58" s="137" t="str">
        <f>Assumptions!L97</f>
        <v>%</v>
      </c>
      <c r="I58" s="373">
        <f>Assumptions!M97</f>
        <v>2.5000000000000001E-2</v>
      </c>
      <c r="J58" s="374">
        <f>Assumptions!O97</f>
        <v>2.5000000000000001E-2</v>
      </c>
      <c r="K58" s="374"/>
      <c r="L58" s="374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Y58" s="137"/>
      <c r="AW58" s="168"/>
    </row>
    <row r="59" spans="2:49" ht="15" customHeight="1" x14ac:dyDescent="0.35">
      <c r="B59" s="160"/>
      <c r="C59" s="137" t="str">
        <f>Assumptions!K98</f>
        <v>Spread to Discount Rate</v>
      </c>
      <c r="D59" s="137"/>
      <c r="E59" s="137"/>
      <c r="F59" s="137"/>
      <c r="H59" s="137" t="str">
        <f>Assumptions!L98</f>
        <v>%</v>
      </c>
      <c r="I59" s="373">
        <f ca="1">Assumptions!M98</f>
        <v>0.63559799654983762</v>
      </c>
      <c r="J59" s="374">
        <f>Assumptions!O98</f>
        <v>0</v>
      </c>
      <c r="K59" s="374"/>
      <c r="L59" s="374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Y59" s="137"/>
      <c r="AW59" s="168"/>
    </row>
    <row r="60" spans="2:49" ht="15" customHeight="1" x14ac:dyDescent="0.35">
      <c r="B60" s="160"/>
      <c r="C60" s="137" t="str">
        <f>Assumptions!K99</f>
        <v>ROIC</v>
      </c>
      <c r="D60" s="137"/>
      <c r="E60" s="137"/>
      <c r="F60" s="137"/>
      <c r="H60" s="137" t="str">
        <f>Assumptions!L99</f>
        <v>%</v>
      </c>
      <c r="I60" s="373">
        <f ca="1">Assumptions!M99</f>
        <v>0.73472299654983764</v>
      </c>
      <c r="J60" s="373">
        <f>Assumptions!O99</f>
        <v>9.9124999999999991E-2</v>
      </c>
      <c r="K60" s="373"/>
      <c r="L60" s="373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Y60" s="137"/>
      <c r="AW60" s="168"/>
    </row>
    <row r="61" spans="2:49" ht="15" customHeight="1" x14ac:dyDescent="0.35">
      <c r="B61" s="160"/>
      <c r="C61" s="137" t="str">
        <f>Assumptions!K100</f>
        <v>ROIC Curve</v>
      </c>
      <c r="D61" s="137"/>
      <c r="E61" s="137"/>
      <c r="F61" s="137"/>
      <c r="H61" s="137" t="str">
        <f>Assumptions!L100</f>
        <v>%</v>
      </c>
      <c r="I61" s="669" t="str">
        <f>Assumptions!M100</f>
        <v>Exponential Decline</v>
      </c>
      <c r="J61" s="373"/>
      <c r="K61" s="373"/>
      <c r="L61" s="373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Y61" s="137"/>
      <c r="AW61" s="168"/>
    </row>
    <row r="62" spans="2:49" ht="15" customHeight="1" x14ac:dyDescent="0.35">
      <c r="B62" s="160"/>
      <c r="H62" s="137"/>
      <c r="I62" s="137"/>
      <c r="J62" s="137"/>
      <c r="K62" s="137"/>
      <c r="L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Y62" s="137"/>
      <c r="AW62" s="168"/>
    </row>
    <row r="63" spans="2:49" ht="15" customHeight="1" x14ac:dyDescent="0.35">
      <c r="B63" s="160"/>
      <c r="H63" s="137"/>
      <c r="I63" s="137"/>
      <c r="J63" s="137"/>
      <c r="K63" s="137"/>
      <c r="L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Y63" s="137"/>
      <c r="AW63" s="168"/>
    </row>
    <row r="64" spans="2:49" ht="15" customHeight="1" x14ac:dyDescent="0.35">
      <c r="B64" s="160"/>
      <c r="C64" s="191" t="s">
        <v>232</v>
      </c>
      <c r="D64" s="191"/>
      <c r="E64" s="191"/>
      <c r="F64" s="191"/>
      <c r="G64" s="191"/>
      <c r="H64" s="191"/>
      <c r="I64" s="370"/>
      <c r="J64" s="370"/>
      <c r="K64" s="371"/>
      <c r="L64" s="371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Y64" s="137"/>
      <c r="AW64" s="168"/>
    </row>
    <row r="65" spans="2:51" ht="15" customHeight="1" x14ac:dyDescent="0.35">
      <c r="B65" s="160"/>
      <c r="G65" s="141"/>
      <c r="H65" s="141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Y65" s="137"/>
      <c r="AW65" s="168"/>
    </row>
    <row r="66" spans="2:51" ht="15" customHeight="1" x14ac:dyDescent="0.35">
      <c r="B66" s="160"/>
      <c r="D66" s="18" t="str">
        <f t="shared" ref="D66:D71" si="28">C84</f>
        <v>FCF Forecast Period</v>
      </c>
      <c r="G66" s="137"/>
      <c r="H66" s="141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Y66" s="137"/>
      <c r="AW66" s="168"/>
    </row>
    <row r="67" spans="2:51" ht="15" customHeight="1" x14ac:dyDescent="0.35">
      <c r="B67" s="160"/>
      <c r="D67" s="9" t="str">
        <f t="shared" si="28"/>
        <v>FCF Gordon Growth</v>
      </c>
      <c r="E67" s="375"/>
      <c r="F67" s="375"/>
      <c r="G67" s="137"/>
      <c r="H67" s="141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Y67" s="137"/>
      <c r="AW67" s="168"/>
    </row>
    <row r="68" spans="2:51" ht="15" customHeight="1" x14ac:dyDescent="0.35">
      <c r="B68" s="160"/>
      <c r="D68" s="18" t="str">
        <f t="shared" si="28"/>
        <v>FCF Two Stage Value Driver</v>
      </c>
      <c r="G68" s="137"/>
      <c r="H68" s="141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Y68" s="137"/>
      <c r="AW68" s="168"/>
    </row>
    <row r="69" spans="2:51" ht="15" customHeight="1" x14ac:dyDescent="0.35">
      <c r="B69" s="160"/>
      <c r="D69" s="18" t="str">
        <f t="shared" si="28"/>
        <v>ROIC Gordon Growth</v>
      </c>
      <c r="G69" s="137"/>
      <c r="H69" s="141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Y69" s="137"/>
      <c r="AW69" s="168"/>
    </row>
    <row r="70" spans="2:51" ht="15" customHeight="1" x14ac:dyDescent="0.35">
      <c r="B70" s="160"/>
      <c r="D70" s="9" t="str">
        <f t="shared" si="28"/>
        <v>ROIC Two Stage Value Driver</v>
      </c>
      <c r="E70" s="375"/>
      <c r="F70" s="375"/>
      <c r="G70" s="137"/>
      <c r="H70" s="141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Y70" s="137"/>
      <c r="AW70" s="168"/>
    </row>
    <row r="71" spans="2:51" ht="15" customHeight="1" x14ac:dyDescent="0.35">
      <c r="B71" s="160"/>
      <c r="D71" s="18" t="str">
        <f t="shared" si="28"/>
        <v>Discount Rate (WACC)</v>
      </c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Y71" s="137"/>
      <c r="AW71" s="168"/>
    </row>
    <row r="72" spans="2:51" ht="15" customHeight="1" x14ac:dyDescent="0.35">
      <c r="B72" s="160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Y72" s="137"/>
      <c r="AW72" s="168"/>
    </row>
    <row r="73" spans="2:51" ht="15" customHeight="1" x14ac:dyDescent="0.35">
      <c r="B73" s="160"/>
      <c r="C73" s="191" t="s">
        <v>8</v>
      </c>
      <c r="D73" s="191"/>
      <c r="E73" s="191"/>
      <c r="F73" s="191"/>
      <c r="G73" s="191"/>
      <c r="H73" s="191"/>
      <c r="I73" s="370"/>
      <c r="J73" s="370"/>
      <c r="K73" s="371"/>
      <c r="L73" s="371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Y73" s="137"/>
      <c r="AW73" s="168"/>
    </row>
    <row r="74" spans="2:51" ht="15" customHeight="1" x14ac:dyDescent="0.35">
      <c r="B74" s="160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Y74" s="137"/>
      <c r="AW74" s="168"/>
    </row>
    <row r="75" spans="2:51" ht="15" customHeight="1" x14ac:dyDescent="0.35">
      <c r="B75" s="160"/>
      <c r="C75" s="18" t="s">
        <v>235</v>
      </c>
      <c r="D75" s="18" t="s">
        <v>211</v>
      </c>
      <c r="G75" s="204" t="str">
        <f>Assumptions!$G$14</f>
        <v>USD</v>
      </c>
      <c r="H75" s="126">
        <f ca="1">R43</f>
        <v>4064979.7368476167</v>
      </c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Y75" s="137"/>
      <c r="AW75" s="168"/>
    </row>
    <row r="76" spans="2:51" ht="15" customHeight="1" x14ac:dyDescent="0.35">
      <c r="B76" s="160"/>
      <c r="D76" s="18" t="s">
        <v>212</v>
      </c>
      <c r="G76" s="204" t="str">
        <f>Assumptions!$G$14</f>
        <v>USD</v>
      </c>
      <c r="H76" s="126">
        <f ca="1">R44</f>
        <v>314485.34857692558</v>
      </c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Y76" s="137"/>
      <c r="AW76" s="168"/>
    </row>
    <row r="77" spans="2:51" ht="15" customHeight="1" x14ac:dyDescent="0.35">
      <c r="B77" s="160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Y77" s="137"/>
      <c r="AW77" s="168"/>
    </row>
    <row r="78" spans="2:51" ht="15" customHeight="1" x14ac:dyDescent="0.35">
      <c r="B78" s="160"/>
      <c r="C78" s="200" t="str">
        <f>C47</f>
        <v>TV Two Stage Value Driver</v>
      </c>
      <c r="D78" s="200"/>
      <c r="E78" s="200"/>
      <c r="F78" s="200"/>
      <c r="G78" s="376" t="str">
        <f>Assumptions!$G$14</f>
        <v>USD</v>
      </c>
      <c r="H78" s="201">
        <f ca="1">R47</f>
        <v>4379465.0854245424</v>
      </c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Y78" s="137"/>
      <c r="AW78" s="168"/>
      <c r="AY78" s="377">
        <f ca="1">SUM(H75:H77)-H78</f>
        <v>0</v>
      </c>
    </row>
    <row r="79" spans="2:51" ht="15" customHeight="1" x14ac:dyDescent="0.35">
      <c r="B79" s="160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Y79" s="137"/>
      <c r="AW79" s="168"/>
    </row>
    <row r="80" spans="2:51" ht="15" customHeight="1" x14ac:dyDescent="0.35">
      <c r="B80" s="160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Y80" s="137"/>
      <c r="AW80" s="168"/>
    </row>
    <row r="81" spans="1:51" ht="15" customHeight="1" x14ac:dyDescent="0.35">
      <c r="B81" s="160"/>
      <c r="C81" s="169" t="s">
        <v>206</v>
      </c>
      <c r="D81" s="169"/>
      <c r="E81" s="169"/>
      <c r="F81" s="169"/>
      <c r="G81" s="169"/>
      <c r="H81" s="169"/>
      <c r="I81" s="169"/>
      <c r="J81" s="169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Y81" s="137"/>
      <c r="AW81" s="168"/>
    </row>
    <row r="82" spans="1:51" ht="15" customHeight="1" x14ac:dyDescent="0.35">
      <c r="A82" s="137"/>
      <c r="B82" s="153"/>
      <c r="C82" s="378" t="str">
        <f>C8</f>
        <v>Year</v>
      </c>
      <c r="D82" s="378"/>
      <c r="E82" s="378"/>
      <c r="F82" s="378"/>
      <c r="G82" s="378"/>
      <c r="H82" s="378"/>
      <c r="I82" s="378"/>
      <c r="J82" s="378"/>
      <c r="K82" s="378"/>
      <c r="L82" s="378"/>
      <c r="M82" s="378"/>
      <c r="N82" s="379">
        <f t="shared" ref="N82:AV82" si="29">N8</f>
        <v>1</v>
      </c>
      <c r="O82" s="379">
        <f t="shared" si="29"/>
        <v>2</v>
      </c>
      <c r="P82" s="379">
        <f t="shared" si="29"/>
        <v>3</v>
      </c>
      <c r="Q82" s="379">
        <f t="shared" si="29"/>
        <v>4</v>
      </c>
      <c r="R82" s="379">
        <f t="shared" si="29"/>
        <v>5</v>
      </c>
      <c r="S82" s="379">
        <f t="shared" si="29"/>
        <v>6</v>
      </c>
      <c r="T82" s="379">
        <f t="shared" si="29"/>
        <v>7</v>
      </c>
      <c r="U82" s="379">
        <f t="shared" si="29"/>
        <v>8</v>
      </c>
      <c r="V82" s="379">
        <f t="shared" si="29"/>
        <v>9</v>
      </c>
      <c r="W82" s="379">
        <f t="shared" si="29"/>
        <v>10</v>
      </c>
      <c r="X82" s="379">
        <f t="shared" si="29"/>
        <v>11</v>
      </c>
      <c r="Y82" s="379">
        <f t="shared" si="29"/>
        <v>12</v>
      </c>
      <c r="Z82" s="379">
        <f t="shared" si="29"/>
        <v>13</v>
      </c>
      <c r="AA82" s="379">
        <f t="shared" si="29"/>
        <v>14</v>
      </c>
      <c r="AB82" s="379">
        <f t="shared" si="29"/>
        <v>15</v>
      </c>
      <c r="AC82" s="379">
        <f t="shared" si="29"/>
        <v>16</v>
      </c>
      <c r="AD82" s="379">
        <f t="shared" si="29"/>
        <v>17</v>
      </c>
      <c r="AE82" s="379">
        <f t="shared" si="29"/>
        <v>18</v>
      </c>
      <c r="AF82" s="379">
        <f t="shared" si="29"/>
        <v>19</v>
      </c>
      <c r="AG82" s="379">
        <f t="shared" si="29"/>
        <v>20</v>
      </c>
      <c r="AH82" s="379">
        <f t="shared" si="29"/>
        <v>21</v>
      </c>
      <c r="AI82" s="379">
        <f t="shared" si="29"/>
        <v>22</v>
      </c>
      <c r="AJ82" s="379">
        <f t="shared" si="29"/>
        <v>23</v>
      </c>
      <c r="AK82" s="379">
        <f t="shared" si="29"/>
        <v>24</v>
      </c>
      <c r="AL82" s="379">
        <f t="shared" si="29"/>
        <v>25</v>
      </c>
      <c r="AM82" s="379">
        <f t="shared" si="29"/>
        <v>26</v>
      </c>
      <c r="AN82" s="379">
        <f t="shared" si="29"/>
        <v>27</v>
      </c>
      <c r="AO82" s="379">
        <f t="shared" si="29"/>
        <v>28</v>
      </c>
      <c r="AP82" s="379">
        <f t="shared" si="29"/>
        <v>29</v>
      </c>
      <c r="AQ82" s="379">
        <f t="shared" si="29"/>
        <v>30</v>
      </c>
      <c r="AR82" s="379">
        <f t="shared" si="29"/>
        <v>31</v>
      </c>
      <c r="AS82" s="379">
        <f t="shared" si="29"/>
        <v>32</v>
      </c>
      <c r="AT82" s="379">
        <f t="shared" si="29"/>
        <v>33</v>
      </c>
      <c r="AU82" s="379">
        <f t="shared" si="29"/>
        <v>34</v>
      </c>
      <c r="AV82" s="379">
        <f t="shared" si="29"/>
        <v>35</v>
      </c>
      <c r="AW82" s="168"/>
    </row>
    <row r="83" spans="1:51" s="252" customFormat="1" ht="15" customHeight="1" x14ac:dyDescent="0.35">
      <c r="B83" s="380"/>
      <c r="C83" s="297"/>
      <c r="D83" s="297"/>
      <c r="E83" s="297"/>
      <c r="F83" s="297"/>
      <c r="G83" s="297"/>
      <c r="J83" s="297"/>
      <c r="K83" s="297"/>
      <c r="L83" s="297"/>
      <c r="N83" s="381"/>
      <c r="O83" s="381"/>
      <c r="P83" s="381"/>
      <c r="Q83" s="381"/>
      <c r="R83" s="381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297"/>
      <c r="AT83" s="297"/>
      <c r="AU83" s="297"/>
      <c r="AV83" s="297"/>
      <c r="AW83" s="382"/>
      <c r="AY83" s="334"/>
    </row>
    <row r="84" spans="1:51" s="629" customFormat="1" ht="15" customHeight="1" x14ac:dyDescent="0.35">
      <c r="A84" s="18"/>
      <c r="B84" s="160"/>
      <c r="C84" s="18" t="s">
        <v>208</v>
      </c>
      <c r="D84" s="18"/>
      <c r="E84" s="18"/>
      <c r="F84" s="18"/>
      <c r="G84" s="18"/>
      <c r="H84" s="18"/>
      <c r="I84" s="383" t="b">
        <v>1</v>
      </c>
      <c r="J84" s="204" t="str">
        <f>Assumptions!$G$14</f>
        <v>USD</v>
      </c>
      <c r="K84" s="204"/>
      <c r="L84" s="204"/>
      <c r="M84" s="18"/>
      <c r="N84" s="653">
        <f ca="1">IF($I84,N30,NA())</f>
        <v>876134.64650062227</v>
      </c>
      <c r="O84" s="653">
        <f ca="1">IF($I84,O30,NA())</f>
        <v>931110.59781528939</v>
      </c>
      <c r="P84" s="653">
        <f ca="1">IF($I84,P30,NA())</f>
        <v>995341.62021612527</v>
      </c>
      <c r="Q84" s="653">
        <f ca="1">IF($I84,Q30,NA())</f>
        <v>745484.17844114464</v>
      </c>
      <c r="R84" s="653">
        <f ca="1">IF($I84,R30,NA())</f>
        <v>988105.73426885519</v>
      </c>
      <c r="S84" s="653"/>
      <c r="T84" s="653"/>
      <c r="U84" s="653"/>
      <c r="V84" s="653"/>
      <c r="W84" s="653"/>
      <c r="X84" s="653"/>
      <c r="Y84" s="653"/>
      <c r="Z84" s="653"/>
      <c r="AA84" s="653"/>
      <c r="AB84" s="653"/>
      <c r="AC84" s="653"/>
      <c r="AD84" s="653"/>
      <c r="AE84" s="653"/>
      <c r="AF84" s="653"/>
      <c r="AG84" s="653"/>
      <c r="AH84" s="653"/>
      <c r="AI84" s="653"/>
      <c r="AJ84" s="653"/>
      <c r="AK84" s="653"/>
      <c r="AL84" s="653"/>
      <c r="AM84" s="653"/>
      <c r="AN84" s="653"/>
      <c r="AO84" s="653"/>
      <c r="AP84" s="653"/>
      <c r="AQ84" s="653"/>
      <c r="AR84" s="653"/>
      <c r="AS84" s="653"/>
      <c r="AT84" s="653"/>
      <c r="AU84" s="653"/>
      <c r="AV84" s="653"/>
      <c r="AW84" s="656"/>
      <c r="AY84" s="657"/>
    </row>
    <row r="85" spans="1:51" s="629" customFormat="1" ht="15" customHeight="1" x14ac:dyDescent="0.35">
      <c r="A85" s="18"/>
      <c r="B85" s="160"/>
      <c r="C85" s="18" t="s">
        <v>207</v>
      </c>
      <c r="D85" s="18"/>
      <c r="E85" s="18"/>
      <c r="F85" s="18"/>
      <c r="G85" s="18"/>
      <c r="H85" s="18"/>
      <c r="I85" s="383" t="b">
        <v>1</v>
      </c>
      <c r="J85" s="204" t="str">
        <f>Assumptions!$G$14</f>
        <v>USD</v>
      </c>
      <c r="K85" s="204"/>
      <c r="L85" s="204"/>
      <c r="M85" s="18"/>
      <c r="N85" s="653"/>
      <c r="O85" s="653"/>
      <c r="P85" s="653"/>
      <c r="Q85" s="653"/>
      <c r="R85" s="653"/>
      <c r="S85" s="653">
        <f ca="1">IF($I85,R30*(1+'Terminal Value'!$H$36),0)</f>
        <v>1012808.3776255765</v>
      </c>
      <c r="T85" s="653">
        <f ca="1">IF($I85,S30*(1+'Terminal Value'!$H$36),0)</f>
        <v>436224.17957271199</v>
      </c>
      <c r="U85" s="653">
        <f ca="1">IF($I85,T30*(1+'Terminal Value'!$H$36),0)</f>
        <v>671624.40524601343</v>
      </c>
      <c r="V85" s="653">
        <f ca="1">IF($I85,U30*(1+'Terminal Value'!$H$36),0)</f>
        <v>674499.16875760013</v>
      </c>
      <c r="W85" s="653">
        <f ca="1">IF($I85,V30*(1+'Terminal Value'!$H$36),0)</f>
        <v>671392.40807746619</v>
      </c>
      <c r="X85" s="653">
        <f ca="1">IF($I85,W30*(1+'Terminal Value'!$H$36),0)</f>
        <v>661860.61284098064</v>
      </c>
      <c r="Y85" s="653">
        <f ca="1">IF($I85,X30*(1+'Terminal Value'!$H$36),0)</f>
        <v>645438.26968220377</v>
      </c>
      <c r="Z85" s="653">
        <f ca="1">IF($I85,Y30*(1+'Terminal Value'!$H$36),0)</f>
        <v>621636.95012940874</v>
      </c>
      <c r="AA85" s="653">
        <f ca="1">IF($I85,Z30*(1+'Terminal Value'!$H$36),0)</f>
        <v>589944.36441854225</v>
      </c>
      <c r="AB85" s="653">
        <f ca="1">IF($I85,AA30*(1+'Terminal Value'!$H$36),0)</f>
        <v>549823.38003487443</v>
      </c>
      <c r="AC85" s="653">
        <f ca="1">IF($I85,AB30*(1+'Terminal Value'!$H$36),0)</f>
        <v>500711.00375349849</v>
      </c>
      <c r="AD85" s="653">
        <f ca="1">IF($I85,AC30*(1+'Terminal Value'!$H$36),0)</f>
        <v>442017.32590850035</v>
      </c>
      <c r="AE85" s="653">
        <f ca="1">IF($I85,AD30*(1+'Terminal Value'!$H$36),0)</f>
        <v>373124.42557844828</v>
      </c>
      <c r="AF85" s="653">
        <f ca="1">IF($I85,AE30*(1+'Terminal Value'!$H$36),0)</f>
        <v>293385.23533235712</v>
      </c>
      <c r="AG85" s="653">
        <f ca="1">IF($I85,AF30*(1+'Terminal Value'!$H$36),0)</f>
        <v>202122.36413535892</v>
      </c>
      <c r="AH85" s="653">
        <f ca="1">IF($I85,AG30*(1+'Terminal Value'!$H$36),0)</f>
        <v>98626.876966998097</v>
      </c>
      <c r="AI85" s="653">
        <f ca="1">IF($I85,AH30*(1+'Terminal Value'!$H$36),0)</f>
        <v>101092.54889117272</v>
      </c>
      <c r="AJ85" s="653">
        <f ca="1">IF($I85,AI30*(1+'Terminal Value'!$H$36),0)</f>
        <v>103619.86261345221</v>
      </c>
      <c r="AK85" s="653">
        <f ca="1">IF($I85,AJ30*(1+'Terminal Value'!$H$36),0)</f>
        <v>106210.35917878845</v>
      </c>
      <c r="AL85" s="653">
        <f ca="1">IF($I85,AK30*(1+'Terminal Value'!$H$36),0)</f>
        <v>108865.61815825796</v>
      </c>
      <c r="AM85" s="653">
        <f ca="1">IF($I85,AL30*(1+'Terminal Value'!$H$36),0)</f>
        <v>111587.2586122145</v>
      </c>
      <c r="AN85" s="653">
        <f ca="1">IF($I85,AM30*(1+'Terminal Value'!$H$36),0)</f>
        <v>114376.94007751992</v>
      </c>
      <c r="AO85" s="653">
        <f ca="1">IF($I85,AN30*(1+'Terminal Value'!$H$36),0)</f>
        <v>117236.36357945812</v>
      </c>
      <c r="AP85" s="653">
        <f ca="1">IF($I85,AO30*(1+'Terminal Value'!$H$36),0)</f>
        <v>120167.27266894418</v>
      </c>
      <c r="AQ85" s="653">
        <f ca="1">IF($I85,AP30*(1+'Terminal Value'!$H$36),0)</f>
        <v>123171.45448566791</v>
      </c>
      <c r="AR85" s="653">
        <f ca="1">IF($I85,AQ30*(1+'Terminal Value'!$H$36),0)</f>
        <v>126250.74084780973</v>
      </c>
      <c r="AS85" s="653">
        <f ca="1">IF($I85,AR30*(1+'Terminal Value'!$H$36),0)</f>
        <v>129407.00936900488</v>
      </c>
      <c r="AT85" s="653">
        <f ca="1">IF($I85,AS30*(1+'Terminal Value'!$H$36),0)</f>
        <v>132642.18460322989</v>
      </c>
      <c r="AU85" s="653">
        <f ca="1">IF($I85,AT30*(1+'Terminal Value'!$H$36),0)</f>
        <v>135958.23921831063</v>
      </c>
      <c r="AV85" s="653">
        <f ca="1">IF($I85,AU30*(1+'Terminal Value'!$H$36),0)</f>
        <v>139357.19519876846</v>
      </c>
      <c r="AW85" s="656"/>
      <c r="AY85" s="657"/>
    </row>
    <row r="86" spans="1:51" s="629" customFormat="1" ht="15" customHeight="1" x14ac:dyDescent="0.35">
      <c r="A86" s="18"/>
      <c r="B86" s="160"/>
      <c r="C86" s="18" t="str">
        <f>"FCF "&amp;$C$7</f>
        <v>FCF Two Stage Value Driver</v>
      </c>
      <c r="D86" s="18"/>
      <c r="E86" s="18"/>
      <c r="F86" s="18"/>
      <c r="G86" s="18"/>
      <c r="H86" s="18"/>
      <c r="I86" s="383" t="b">
        <v>1</v>
      </c>
      <c r="J86" s="204" t="str">
        <f>Assumptions!$G$14</f>
        <v>USD</v>
      </c>
      <c r="K86" s="204"/>
      <c r="L86" s="204"/>
      <c r="M86" s="18"/>
      <c r="N86" s="653"/>
      <c r="O86" s="653"/>
      <c r="P86" s="653"/>
      <c r="Q86" s="653"/>
      <c r="R86" s="653"/>
      <c r="S86" s="653">
        <f t="shared" ref="S86:AV86" ca="1" si="30">IF($I86,S30,NA())</f>
        <v>425584.56543679221</v>
      </c>
      <c r="T86" s="653">
        <f t="shared" ca="1" si="30"/>
        <v>655243.3221912327</v>
      </c>
      <c r="U86" s="653">
        <f t="shared" ca="1" si="30"/>
        <v>658047.96951960993</v>
      </c>
      <c r="V86" s="653">
        <f t="shared" ca="1" si="30"/>
        <v>655016.98349021096</v>
      </c>
      <c r="W86" s="653">
        <f t="shared" ca="1" si="30"/>
        <v>645717.67106437136</v>
      </c>
      <c r="X86" s="653">
        <f t="shared" ca="1" si="30"/>
        <v>629695.87286068662</v>
      </c>
      <c r="Y86" s="653">
        <f t="shared" ca="1" si="30"/>
        <v>606475.07329698419</v>
      </c>
      <c r="Z86" s="653">
        <f t="shared" ca="1" si="30"/>
        <v>575555.47748150467</v>
      </c>
      <c r="AA86" s="653">
        <f t="shared" ca="1" si="30"/>
        <v>536413.05369256041</v>
      </c>
      <c r="AB86" s="653">
        <f t="shared" ca="1" si="30"/>
        <v>488498.54024731566</v>
      </c>
      <c r="AC86" s="653">
        <f t="shared" ca="1" si="30"/>
        <v>431236.41552048817</v>
      </c>
      <c r="AD86" s="653">
        <f t="shared" ca="1" si="30"/>
        <v>364023.8298326325</v>
      </c>
      <c r="AE86" s="653">
        <f t="shared" ca="1" si="30"/>
        <v>286229.4978852265</v>
      </c>
      <c r="AF86" s="653">
        <f t="shared" ca="1" si="30"/>
        <v>197192.55037595995</v>
      </c>
      <c r="AG86" s="653">
        <f t="shared" ca="1" si="30"/>
        <v>96221.343382437175</v>
      </c>
      <c r="AH86" s="653">
        <f t="shared" ca="1" si="30"/>
        <v>98626.876966997777</v>
      </c>
      <c r="AI86" s="653">
        <f t="shared" ca="1" si="30"/>
        <v>101092.54889117289</v>
      </c>
      <c r="AJ86" s="653">
        <f t="shared" ca="1" si="30"/>
        <v>103619.86261345216</v>
      </c>
      <c r="AK86" s="653">
        <f t="shared" ca="1" si="30"/>
        <v>106210.35917878826</v>
      </c>
      <c r="AL86" s="653">
        <f t="shared" ca="1" si="30"/>
        <v>108865.61815825806</v>
      </c>
      <c r="AM86" s="653">
        <f t="shared" ca="1" si="30"/>
        <v>111587.25861221456</v>
      </c>
      <c r="AN86" s="653">
        <f t="shared" ca="1" si="30"/>
        <v>114376.94007752012</v>
      </c>
      <c r="AO86" s="653">
        <f t="shared" ca="1" si="30"/>
        <v>117236.36357945774</v>
      </c>
      <c r="AP86" s="653">
        <f t="shared" ca="1" si="30"/>
        <v>120167.27266894432</v>
      </c>
      <c r="AQ86" s="653">
        <f t="shared" ca="1" si="30"/>
        <v>123171.45448566804</v>
      </c>
      <c r="AR86" s="653">
        <f t="shared" ca="1" si="30"/>
        <v>126250.74084780965</v>
      </c>
      <c r="AS86" s="653">
        <f t="shared" ca="1" si="30"/>
        <v>129407.00936900478</v>
      </c>
      <c r="AT86" s="653">
        <f t="shared" ca="1" si="30"/>
        <v>132642.18460322989</v>
      </c>
      <c r="AU86" s="653">
        <f t="shared" ca="1" si="30"/>
        <v>135958.23921831071</v>
      </c>
      <c r="AV86" s="653">
        <f t="shared" ca="1" si="30"/>
        <v>139357.19519876863</v>
      </c>
      <c r="AW86" s="656"/>
      <c r="AY86" s="657"/>
    </row>
    <row r="87" spans="1:51" s="629" customFormat="1" ht="15" customHeight="1" x14ac:dyDescent="0.35">
      <c r="A87" s="18"/>
      <c r="B87" s="160"/>
      <c r="C87" s="18" t="str">
        <f>C14&amp;" Gordon Growth"</f>
        <v>ROIC Gordon Growth</v>
      </c>
      <c r="D87" s="18"/>
      <c r="E87" s="18"/>
      <c r="F87" s="18"/>
      <c r="G87" s="18"/>
      <c r="H87" s="18"/>
      <c r="I87" s="383" t="b">
        <v>1</v>
      </c>
      <c r="J87" s="204" t="s">
        <v>17</v>
      </c>
      <c r="K87" s="204"/>
      <c r="L87" s="204"/>
      <c r="M87" s="18"/>
      <c r="N87" s="653"/>
      <c r="O87" s="653"/>
      <c r="P87" s="653"/>
      <c r="Q87" s="653"/>
      <c r="R87" s="653"/>
      <c r="S87" s="257">
        <f ca="1">IF($I87,R88,NA())</f>
        <v>0.73472299654983764</v>
      </c>
      <c r="T87" s="257">
        <f ca="1">IF($I87,S87,NA())</f>
        <v>0.73472299654983764</v>
      </c>
      <c r="U87" s="257">
        <f t="shared" ref="U87:AU87" ca="1" si="31">IF($I87,T87,NA())</f>
        <v>0.73472299654983764</v>
      </c>
      <c r="V87" s="257">
        <f t="shared" ca="1" si="31"/>
        <v>0.73472299654983764</v>
      </c>
      <c r="W87" s="257">
        <f t="shared" ca="1" si="31"/>
        <v>0.73472299654983764</v>
      </c>
      <c r="X87" s="257">
        <f t="shared" ca="1" si="31"/>
        <v>0.73472299654983764</v>
      </c>
      <c r="Y87" s="257">
        <f t="shared" ca="1" si="31"/>
        <v>0.73472299654983764</v>
      </c>
      <c r="Z87" s="257">
        <f t="shared" ca="1" si="31"/>
        <v>0.73472299654983764</v>
      </c>
      <c r="AA87" s="257">
        <f t="shared" ca="1" si="31"/>
        <v>0.73472299654983764</v>
      </c>
      <c r="AB87" s="257">
        <f t="shared" ca="1" si="31"/>
        <v>0.73472299654983764</v>
      </c>
      <c r="AC87" s="257">
        <f t="shared" ca="1" si="31"/>
        <v>0.73472299654983764</v>
      </c>
      <c r="AD87" s="257">
        <f t="shared" ca="1" si="31"/>
        <v>0.73472299654983764</v>
      </c>
      <c r="AE87" s="257">
        <f t="shared" ca="1" si="31"/>
        <v>0.73472299654983764</v>
      </c>
      <c r="AF87" s="257">
        <f t="shared" ca="1" si="31"/>
        <v>0.73472299654983764</v>
      </c>
      <c r="AG87" s="257">
        <f t="shared" ca="1" si="31"/>
        <v>0.73472299654983764</v>
      </c>
      <c r="AH87" s="257">
        <f t="shared" ca="1" si="31"/>
        <v>0.73472299654983764</v>
      </c>
      <c r="AI87" s="257">
        <f t="shared" ca="1" si="31"/>
        <v>0.73472299654983764</v>
      </c>
      <c r="AJ87" s="257">
        <f t="shared" ca="1" si="31"/>
        <v>0.73472299654983764</v>
      </c>
      <c r="AK87" s="257">
        <f t="shared" ca="1" si="31"/>
        <v>0.73472299654983764</v>
      </c>
      <c r="AL87" s="257">
        <f t="shared" ca="1" si="31"/>
        <v>0.73472299654983764</v>
      </c>
      <c r="AM87" s="257">
        <f t="shared" ca="1" si="31"/>
        <v>0.73472299654983764</v>
      </c>
      <c r="AN87" s="257">
        <f t="shared" ca="1" si="31"/>
        <v>0.73472299654983764</v>
      </c>
      <c r="AO87" s="257">
        <f t="shared" ca="1" si="31"/>
        <v>0.73472299654983764</v>
      </c>
      <c r="AP87" s="257">
        <f t="shared" ca="1" si="31"/>
        <v>0.73472299654983764</v>
      </c>
      <c r="AQ87" s="257">
        <f t="shared" ca="1" si="31"/>
        <v>0.73472299654983764</v>
      </c>
      <c r="AR87" s="257">
        <f t="shared" ca="1" si="31"/>
        <v>0.73472299654983764</v>
      </c>
      <c r="AS87" s="257">
        <f t="shared" ca="1" si="31"/>
        <v>0.73472299654983764</v>
      </c>
      <c r="AT87" s="257">
        <f t="shared" ca="1" si="31"/>
        <v>0.73472299654983764</v>
      </c>
      <c r="AU87" s="257">
        <f t="shared" ca="1" si="31"/>
        <v>0.73472299654983764</v>
      </c>
      <c r="AV87" s="257">
        <f ca="1">IF($I87,AU87,NA())</f>
        <v>0.73472299654983764</v>
      </c>
      <c r="AW87" s="656"/>
      <c r="AY87" s="657"/>
    </row>
    <row r="88" spans="1:51" ht="15" customHeight="1" x14ac:dyDescent="0.35">
      <c r="B88" s="160"/>
      <c r="C88" s="18" t="str">
        <f>C15&amp;" "&amp;$C$7</f>
        <v>ROIC Two Stage Value Driver</v>
      </c>
      <c r="I88" s="383" t="b">
        <v>1</v>
      </c>
      <c r="J88" s="204" t="s">
        <v>17</v>
      </c>
      <c r="K88" s="204"/>
      <c r="L88" s="204"/>
      <c r="N88" s="384">
        <f t="shared" ref="N88:AV88" ca="1" si="32">IF($I88,N15,NA())</f>
        <v>0.28761379679436305</v>
      </c>
      <c r="O88" s="384">
        <f t="shared" ca="1" si="32"/>
        <v>0.44169988538212279</v>
      </c>
      <c r="P88" s="384">
        <f t="shared" ca="1" si="32"/>
        <v>0.58709386911585382</v>
      </c>
      <c r="Q88" s="384">
        <f t="shared" ca="1" si="32"/>
        <v>0.66768040201824275</v>
      </c>
      <c r="R88" s="384">
        <f ca="1">IF($I88,R15,NA())</f>
        <v>0.73472299654983764</v>
      </c>
      <c r="S88" s="384">
        <f t="shared" ca="1" si="32"/>
        <v>0.73189811656517167</v>
      </c>
      <c r="T88" s="384">
        <f t="shared" ca="1" si="32"/>
        <v>0.7234234766111739</v>
      </c>
      <c r="U88" s="384">
        <f t="shared" ca="1" si="32"/>
        <v>0.70929907668784409</v>
      </c>
      <c r="V88" s="384">
        <f t="shared" ca="1" si="32"/>
        <v>0.68952491679518246</v>
      </c>
      <c r="W88" s="384">
        <f t="shared" ca="1" si="32"/>
        <v>0.66410099693318903</v>
      </c>
      <c r="X88" s="384">
        <f t="shared" ca="1" si="32"/>
        <v>0.63302731710186366</v>
      </c>
      <c r="Y88" s="384">
        <f t="shared" ca="1" si="32"/>
        <v>0.59630387730120638</v>
      </c>
      <c r="Z88" s="384">
        <f t="shared" ca="1" si="32"/>
        <v>0.55393067753121716</v>
      </c>
      <c r="AA88" s="384">
        <f t="shared" ca="1" si="32"/>
        <v>0.50590771779189614</v>
      </c>
      <c r="AB88" s="384">
        <f t="shared" ca="1" si="32"/>
        <v>0.45223499808324313</v>
      </c>
      <c r="AC88" s="384">
        <f t="shared" ca="1" si="32"/>
        <v>0.39291251840525832</v>
      </c>
      <c r="AD88" s="384">
        <f t="shared" ca="1" si="32"/>
        <v>0.32794027875794157</v>
      </c>
      <c r="AE88" s="384">
        <f t="shared" ca="1" si="32"/>
        <v>0.25731827914129296</v>
      </c>
      <c r="AF88" s="384">
        <f t="shared" ca="1" si="32"/>
        <v>0.18104651955531248</v>
      </c>
      <c r="AG88" s="384">
        <f t="shared" si="32"/>
        <v>9.9124999999999991E-2</v>
      </c>
      <c r="AH88" s="384">
        <f t="shared" si="32"/>
        <v>9.9124999999999991E-2</v>
      </c>
      <c r="AI88" s="384">
        <f t="shared" si="32"/>
        <v>9.9124999999999991E-2</v>
      </c>
      <c r="AJ88" s="384">
        <f t="shared" si="32"/>
        <v>9.9124999999999991E-2</v>
      </c>
      <c r="AK88" s="384">
        <f t="shared" si="32"/>
        <v>9.9124999999999991E-2</v>
      </c>
      <c r="AL88" s="384">
        <f t="shared" si="32"/>
        <v>9.9124999999999991E-2</v>
      </c>
      <c r="AM88" s="384">
        <f t="shared" si="32"/>
        <v>9.9124999999999991E-2</v>
      </c>
      <c r="AN88" s="384">
        <f t="shared" si="32"/>
        <v>9.9124999999999991E-2</v>
      </c>
      <c r="AO88" s="384">
        <f t="shared" si="32"/>
        <v>9.9124999999999991E-2</v>
      </c>
      <c r="AP88" s="384">
        <f t="shared" si="32"/>
        <v>9.9124999999999991E-2</v>
      </c>
      <c r="AQ88" s="384">
        <f t="shared" si="32"/>
        <v>9.9124999999999991E-2</v>
      </c>
      <c r="AR88" s="384">
        <f t="shared" si="32"/>
        <v>9.9124999999999991E-2</v>
      </c>
      <c r="AS88" s="384">
        <f t="shared" si="32"/>
        <v>9.9124999999999991E-2</v>
      </c>
      <c r="AT88" s="384">
        <f t="shared" si="32"/>
        <v>9.9124999999999991E-2</v>
      </c>
      <c r="AU88" s="384">
        <f t="shared" si="32"/>
        <v>9.9124999999999991E-2</v>
      </c>
      <c r="AV88" s="384">
        <f t="shared" si="32"/>
        <v>9.9124999999999991E-2</v>
      </c>
      <c r="AW88" s="168"/>
    </row>
    <row r="89" spans="1:51" ht="15" customHeight="1" x14ac:dyDescent="0.35">
      <c r="B89" s="160"/>
      <c r="C89" s="18" t="str">
        <f>Assumptions!C60</f>
        <v>Discount Rate (WACC)</v>
      </c>
      <c r="H89" s="385">
        <f>Assumptions!$G$60</f>
        <v>9.9124999999999991E-2</v>
      </c>
      <c r="I89" s="383" t="b">
        <v>1</v>
      </c>
      <c r="J89" s="204" t="s">
        <v>17</v>
      </c>
      <c r="K89" s="204"/>
      <c r="L89" s="204"/>
      <c r="N89" s="384">
        <f>IF($I89,$H89,NA())</f>
        <v>9.9124999999999991E-2</v>
      </c>
      <c r="O89" s="384">
        <f t="shared" ref="O89:AV89" si="33">IF($I89,$H89,NA())</f>
        <v>9.9124999999999991E-2</v>
      </c>
      <c r="P89" s="384">
        <f t="shared" si="33"/>
        <v>9.9124999999999991E-2</v>
      </c>
      <c r="Q89" s="384">
        <f t="shared" si="33"/>
        <v>9.9124999999999991E-2</v>
      </c>
      <c r="R89" s="384">
        <f t="shared" si="33"/>
        <v>9.9124999999999991E-2</v>
      </c>
      <c r="S89" s="384">
        <f t="shared" si="33"/>
        <v>9.9124999999999991E-2</v>
      </c>
      <c r="T89" s="384">
        <f t="shared" si="33"/>
        <v>9.9124999999999991E-2</v>
      </c>
      <c r="U89" s="384">
        <f t="shared" si="33"/>
        <v>9.9124999999999991E-2</v>
      </c>
      <c r="V89" s="384">
        <f t="shared" si="33"/>
        <v>9.9124999999999991E-2</v>
      </c>
      <c r="W89" s="384">
        <f t="shared" si="33"/>
        <v>9.9124999999999991E-2</v>
      </c>
      <c r="X89" s="384">
        <f t="shared" si="33"/>
        <v>9.9124999999999991E-2</v>
      </c>
      <c r="Y89" s="384">
        <f t="shared" si="33"/>
        <v>9.9124999999999991E-2</v>
      </c>
      <c r="Z89" s="384">
        <f t="shared" si="33"/>
        <v>9.9124999999999991E-2</v>
      </c>
      <c r="AA89" s="384">
        <f t="shared" si="33"/>
        <v>9.9124999999999991E-2</v>
      </c>
      <c r="AB89" s="384">
        <f t="shared" si="33"/>
        <v>9.9124999999999991E-2</v>
      </c>
      <c r="AC89" s="384">
        <f t="shared" si="33"/>
        <v>9.9124999999999991E-2</v>
      </c>
      <c r="AD89" s="384">
        <f t="shared" si="33"/>
        <v>9.9124999999999991E-2</v>
      </c>
      <c r="AE89" s="384">
        <f t="shared" si="33"/>
        <v>9.9124999999999991E-2</v>
      </c>
      <c r="AF89" s="384">
        <f t="shared" si="33"/>
        <v>9.9124999999999991E-2</v>
      </c>
      <c r="AG89" s="384">
        <f t="shared" si="33"/>
        <v>9.9124999999999991E-2</v>
      </c>
      <c r="AH89" s="384">
        <f t="shared" si="33"/>
        <v>9.9124999999999991E-2</v>
      </c>
      <c r="AI89" s="384">
        <f t="shared" si="33"/>
        <v>9.9124999999999991E-2</v>
      </c>
      <c r="AJ89" s="384">
        <f t="shared" si="33"/>
        <v>9.9124999999999991E-2</v>
      </c>
      <c r="AK89" s="384">
        <f t="shared" si="33"/>
        <v>9.9124999999999991E-2</v>
      </c>
      <c r="AL89" s="384">
        <f t="shared" si="33"/>
        <v>9.9124999999999991E-2</v>
      </c>
      <c r="AM89" s="384">
        <f t="shared" si="33"/>
        <v>9.9124999999999991E-2</v>
      </c>
      <c r="AN89" s="384">
        <f t="shared" si="33"/>
        <v>9.9124999999999991E-2</v>
      </c>
      <c r="AO89" s="384">
        <f t="shared" si="33"/>
        <v>9.9124999999999991E-2</v>
      </c>
      <c r="AP89" s="384">
        <f t="shared" si="33"/>
        <v>9.9124999999999991E-2</v>
      </c>
      <c r="AQ89" s="384">
        <f t="shared" si="33"/>
        <v>9.9124999999999991E-2</v>
      </c>
      <c r="AR89" s="384">
        <f t="shared" si="33"/>
        <v>9.9124999999999991E-2</v>
      </c>
      <c r="AS89" s="384">
        <f t="shared" si="33"/>
        <v>9.9124999999999991E-2</v>
      </c>
      <c r="AT89" s="384">
        <f t="shared" si="33"/>
        <v>9.9124999999999991E-2</v>
      </c>
      <c r="AU89" s="384">
        <f t="shared" si="33"/>
        <v>9.9124999999999991E-2</v>
      </c>
      <c r="AV89" s="384">
        <f t="shared" si="33"/>
        <v>9.9124999999999991E-2</v>
      </c>
      <c r="AW89" s="168"/>
    </row>
    <row r="90" spans="1:51" ht="15" customHeight="1" x14ac:dyDescent="0.35">
      <c r="B90" s="190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238"/>
      <c r="P90" s="238"/>
      <c r="Q90" s="238"/>
      <c r="R90" s="238"/>
      <c r="S90" s="238"/>
      <c r="T90" s="238"/>
      <c r="U90" s="238"/>
      <c r="V90" s="238"/>
      <c r="W90" s="238"/>
      <c r="X90" s="262"/>
      <c r="Y90" s="386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387"/>
    </row>
    <row r="91" spans="1:51" s="19" customFormat="1" ht="15" customHeight="1" x14ac:dyDescent="0.35">
      <c r="A91" s="137"/>
      <c r="C91" s="292"/>
      <c r="D91" s="292"/>
      <c r="E91" s="292"/>
      <c r="F91" s="292"/>
      <c r="G91" s="292"/>
      <c r="H91" s="252"/>
      <c r="I91" s="252"/>
      <c r="J91" s="252"/>
      <c r="K91" s="252"/>
      <c r="L91" s="252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Y91" s="334"/>
    </row>
    <row r="92" spans="1:51" s="19" customFormat="1" ht="15" customHeight="1" x14ac:dyDescent="0.35">
      <c r="A92" s="137"/>
      <c r="C92" s="292"/>
      <c r="D92" s="292"/>
      <c r="E92" s="292"/>
      <c r="F92" s="292"/>
      <c r="G92" s="292"/>
      <c r="H92" s="252"/>
      <c r="I92" s="252"/>
      <c r="J92" s="252"/>
      <c r="K92" s="252"/>
      <c r="L92" s="252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Y92" s="334"/>
    </row>
    <row r="93" spans="1:51" s="19" customFormat="1" ht="15" customHeight="1" x14ac:dyDescent="0.35">
      <c r="A93" s="137"/>
      <c r="C93" s="292"/>
      <c r="D93" s="292"/>
      <c r="E93" s="292"/>
      <c r="F93" s="292"/>
      <c r="G93" s="292"/>
      <c r="H93" s="252"/>
      <c r="I93" s="252"/>
      <c r="J93" s="252"/>
      <c r="K93" s="252"/>
      <c r="L93" s="252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Y93" s="334"/>
    </row>
    <row r="94" spans="1:51" s="19" customFormat="1" ht="15" customHeight="1" x14ac:dyDescent="0.35">
      <c r="A94" s="137"/>
      <c r="C94" s="328"/>
      <c r="D94" s="328"/>
      <c r="E94" s="328"/>
      <c r="F94" s="328"/>
      <c r="G94" s="328"/>
      <c r="H94" s="252"/>
      <c r="I94" s="252"/>
      <c r="J94" s="252"/>
      <c r="K94" s="252"/>
      <c r="L94" s="252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Y94" s="141"/>
      <c r="AY94" s="334"/>
    </row>
    <row r="95" spans="1:51" ht="15" customHeight="1" x14ac:dyDescent="0.35">
      <c r="A95" s="137"/>
      <c r="B95" s="137"/>
      <c r="C95" s="329"/>
      <c r="D95" s="329"/>
      <c r="E95" s="329"/>
      <c r="F95" s="329"/>
      <c r="G95" s="329"/>
      <c r="H95" s="9"/>
      <c r="I95" s="9"/>
      <c r="J95" s="9"/>
      <c r="K95" s="9"/>
      <c r="L95" s="9"/>
      <c r="M95" s="9"/>
      <c r="Q95" s="9"/>
    </row>
    <row r="96" spans="1:51" s="18" customFormat="1" ht="15" customHeight="1" x14ac:dyDescent="0.35">
      <c r="H96" s="241"/>
      <c r="I96" s="241"/>
      <c r="J96" s="241"/>
      <c r="K96" s="241"/>
      <c r="L96" s="241"/>
      <c r="M96" s="241"/>
      <c r="X96" s="137"/>
      <c r="Y96" s="141"/>
      <c r="Z96" s="137"/>
      <c r="AY96" s="330"/>
    </row>
    <row r="112" spans="10:51" s="18" customFormat="1" ht="15" customHeight="1" x14ac:dyDescent="0.35">
      <c r="J112" s="126"/>
      <c r="K112" s="126"/>
      <c r="L112" s="126"/>
      <c r="X112" s="137"/>
      <c r="Y112" s="141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334"/>
    </row>
    <row r="113" spans="10:51" s="18" customFormat="1" ht="15" customHeight="1" x14ac:dyDescent="0.35">
      <c r="J113" s="126"/>
      <c r="K113" s="126"/>
      <c r="L113" s="126"/>
      <c r="X113" s="137"/>
      <c r="Y113" s="141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334"/>
    </row>
    <row r="114" spans="10:51" s="18" customFormat="1" ht="15" customHeight="1" x14ac:dyDescent="0.35">
      <c r="J114" s="126"/>
      <c r="K114" s="126"/>
      <c r="L114" s="126"/>
      <c r="X114" s="137"/>
      <c r="Y114" s="141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334"/>
    </row>
    <row r="115" spans="10:51" s="18" customFormat="1" ht="15" customHeight="1" x14ac:dyDescent="0.35">
      <c r="J115" s="126"/>
      <c r="K115" s="126"/>
      <c r="L115" s="126"/>
      <c r="X115" s="137"/>
      <c r="Y115" s="141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334"/>
    </row>
    <row r="116" spans="10:51" s="18" customFormat="1" ht="15" customHeight="1" x14ac:dyDescent="0.35">
      <c r="J116" s="126"/>
      <c r="K116" s="126"/>
      <c r="L116" s="126"/>
      <c r="X116" s="137"/>
      <c r="Y116" s="141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334"/>
    </row>
    <row r="117" spans="10:51" s="18" customFormat="1" ht="15" customHeight="1" x14ac:dyDescent="0.35">
      <c r="J117" s="126"/>
      <c r="K117" s="126"/>
      <c r="L117" s="126"/>
      <c r="X117" s="137"/>
      <c r="Y117" s="141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334"/>
    </row>
    <row r="118" spans="10:51" s="18" customFormat="1" ht="15" customHeight="1" x14ac:dyDescent="0.35">
      <c r="J118" s="126"/>
      <c r="K118" s="126"/>
      <c r="L118" s="126"/>
      <c r="X118" s="137"/>
      <c r="Y118" s="141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334"/>
    </row>
    <row r="119" spans="10:51" s="18" customFormat="1" ht="15" customHeight="1" x14ac:dyDescent="0.35">
      <c r="J119" s="126"/>
      <c r="K119" s="126"/>
      <c r="L119" s="126"/>
      <c r="X119" s="137"/>
      <c r="Y119" s="141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334"/>
    </row>
    <row r="120" spans="10:51" s="18" customFormat="1" ht="15" customHeight="1" x14ac:dyDescent="0.35">
      <c r="J120" s="126"/>
      <c r="K120" s="126"/>
      <c r="L120" s="126"/>
      <c r="X120" s="137"/>
      <c r="Y120" s="141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334"/>
    </row>
  </sheetData>
  <mergeCells count="1">
    <mergeCell ref="H15:I15"/>
  </mergeCells>
  <printOptions horizontalCentered="1"/>
  <pageMargins left="0.5" right="0.5" top="0.5" bottom="0.5" header="0.3" footer="0.3"/>
  <pageSetup paperSize="9" scale="27" orientation="landscape" r:id="rId1"/>
  <headerFooter>
    <oddFooter>&amp;L&amp;"Calibri,Regular"&amp;K000000Strictly private and confidential&amp;C&amp;"Calibri,Regular"&amp;K000000Page &amp;P of &amp;N&amp;R&amp;"Helvetica,Regular"&amp;12&amp;K000000&amp;F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4" r:id="rId4" name="Check Box 6">
              <controlPr defaultSize="0" autoFill="0" autoLine="0" autoPict="0">
                <anchor moveWithCells="1">
                  <from>
                    <xdr:col>2</xdr:col>
                    <xdr:colOff>343561</xdr:colOff>
                    <xdr:row>64</xdr:row>
                    <xdr:rowOff>121568</xdr:rowOff>
                  </from>
                  <to>
                    <xdr:col>2</xdr:col>
                    <xdr:colOff>618409</xdr:colOff>
                    <xdr:row>66</xdr:row>
                    <xdr:rowOff>10571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5" name="Check Box 11">
              <controlPr defaultSize="0" autoFill="0" autoLine="0" autoPict="0">
                <anchor moveWithCells="1">
                  <from>
                    <xdr:col>2</xdr:col>
                    <xdr:colOff>343561</xdr:colOff>
                    <xdr:row>65</xdr:row>
                    <xdr:rowOff>116282</xdr:rowOff>
                  </from>
                  <to>
                    <xdr:col>2</xdr:col>
                    <xdr:colOff>618409</xdr:colOff>
                    <xdr:row>67</xdr:row>
                    <xdr:rowOff>10571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6" name="Check Box 12">
              <controlPr defaultSize="0" autoFill="0" autoLine="0" autoPict="0">
                <anchor moveWithCells="1">
                  <from>
                    <xdr:col>2</xdr:col>
                    <xdr:colOff>343561</xdr:colOff>
                    <xdr:row>66</xdr:row>
                    <xdr:rowOff>121568</xdr:rowOff>
                  </from>
                  <to>
                    <xdr:col>2</xdr:col>
                    <xdr:colOff>618409</xdr:colOff>
                    <xdr:row>68</xdr:row>
                    <xdr:rowOff>26428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7" name="Check Box 13">
              <controlPr defaultSize="0" autoFill="0" autoLine="0" autoPict="0">
                <anchor moveWithCells="1">
                  <from>
                    <xdr:col>2</xdr:col>
                    <xdr:colOff>343561</xdr:colOff>
                    <xdr:row>67</xdr:row>
                    <xdr:rowOff>142710</xdr:rowOff>
                  </from>
                  <to>
                    <xdr:col>2</xdr:col>
                    <xdr:colOff>618409</xdr:colOff>
                    <xdr:row>69</xdr:row>
                    <xdr:rowOff>36999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8" name="Check Box 14">
              <controlPr defaultSize="0" autoFill="0" autoLine="0" autoPict="0">
                <anchor moveWithCells="1">
                  <from>
                    <xdr:col>2</xdr:col>
                    <xdr:colOff>343561</xdr:colOff>
                    <xdr:row>68</xdr:row>
                    <xdr:rowOff>121568</xdr:rowOff>
                  </from>
                  <to>
                    <xdr:col>2</xdr:col>
                    <xdr:colOff>618409</xdr:colOff>
                    <xdr:row>70</xdr:row>
                    <xdr:rowOff>26428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9" name="Check Box 15">
              <controlPr defaultSize="0" autoFill="0" autoLine="0" autoPict="0">
                <anchor moveWithCells="1">
                  <from>
                    <xdr:col>2</xdr:col>
                    <xdr:colOff>343561</xdr:colOff>
                    <xdr:row>69</xdr:row>
                    <xdr:rowOff>121568</xdr:rowOff>
                  </from>
                  <to>
                    <xdr:col>2</xdr:col>
                    <xdr:colOff>618409</xdr:colOff>
                    <xdr:row>71</xdr:row>
                    <xdr:rowOff>26428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C75AA5B-1ECF-47D0-BE49-76256A42DED3}">
          <x14:formula1>
            <xm:f>Assumptions!$R$86:$R$88</xm:f>
          </x14:formula1>
          <xm:sqref>H15:I15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</vt:lpstr>
      <vt:lpstr>Terms</vt:lpstr>
      <vt:lpstr>Executive Summary</vt:lpstr>
      <vt:lpstr>Assumptions</vt:lpstr>
      <vt:lpstr>Financials</vt:lpstr>
      <vt:lpstr>DCF</vt:lpstr>
      <vt:lpstr>Terminal Value</vt:lpstr>
      <vt:lpstr>Two Stage Value Driver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eFinancialModels.com</dc:creator>
  <cp:keywords/>
  <dc:description/>
  <cp:lastModifiedBy>NIKHIL PRATAP SINGH</cp:lastModifiedBy>
  <cp:lastPrinted>2025-05-10T11:08:41Z</cp:lastPrinted>
  <dcterms:created xsi:type="dcterms:W3CDTF">2016-06-24T13:26:38Z</dcterms:created>
  <dcterms:modified xsi:type="dcterms:W3CDTF">2026-09-26T22:44:17Z</dcterms:modified>
  <cp:category/>
</cp:coreProperties>
</file>